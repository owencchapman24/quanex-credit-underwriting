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7.xml" ContentType="application/vnd.ms-office.chartcolorstyle+xml"/>
  <Override PartName="/xl/charts/style6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redit Summary" sheetId="1" state="visible" r:id="rId3"/>
    <sheet name="Assumptions" sheetId="2" state="visible" r:id="rId4"/>
    <sheet name="Scenario Comparison" sheetId="3" state="visible" r:id="rId5"/>
    <sheet name="Historicals" sheetId="4" state="visible" r:id="rId6"/>
    <sheet name="Credit Adjustments" sheetId="5" state="visible" r:id="rId7"/>
    <sheet name="Transaction" sheetId="6" state="visible" r:id="rId8"/>
    <sheet name="Forecast" sheetId="7" state="visible" r:id="rId9"/>
    <sheet name="Debt Schedule" sheetId="8" state="visible" r:id="rId10"/>
    <sheet name="Liquidity" sheetId="9" state="visible" r:id="rId11"/>
    <sheet name="Covenants" sheetId="10" state="visible" r:id="rId12"/>
    <sheet name="Recovery" sheetId="11" state="visible" r:id="rId13"/>
    <sheet name="Sensitivities" sheetId="12" state="visible" r:id="rId14"/>
    <sheet name="Sources" sheetId="13" state="visible" r:id="rId15"/>
    <sheet name="Checks" sheetId="14" state="visible" r:id="rId16"/>
  </sheets>
  <definedNames>
    <definedName function="false" hidden="false" localSheetId="1" name="_xlnm.Print_Area" vbProcedure="false">Assumptions!$A$1:$BP$364</definedName>
    <definedName function="false" hidden="false" localSheetId="1" name="_xlnm.Print_Titles" vbProcedure="false">Assumptions!$40:$40</definedName>
    <definedName function="false" hidden="false" localSheetId="13" name="_xlnm.Print_Area" vbProcedure="false">Checks!$A$1:$N$38</definedName>
    <definedName function="false" hidden="false" localSheetId="13" name="_xlnm.Print_Titles" vbProcedure="false">Checks!$6:$6</definedName>
    <definedName function="false" hidden="false" localSheetId="9" name="_xlnm.Print_Area" vbProcedure="false">Covenants!$A$1:$AG$27</definedName>
    <definedName function="false" hidden="false" localSheetId="9" name="_xlnm.Print_Titles" vbProcedure="false">Covenants!$7:$7</definedName>
    <definedName function="false" hidden="false" localSheetId="4" name="_xlnm.Print_Area" vbProcedure="false">'Credit Adjustments'!$A$1:$U$30</definedName>
    <definedName function="false" hidden="false" localSheetId="4" name="_xlnm.Print_Titles" vbProcedure="false">'Credit Adjustments'!$19:$19</definedName>
    <definedName function="false" hidden="false" localSheetId="0" name="_xlnm.Print_Area" vbProcedure="false">'Credit Summary'!$A$1:$N$28</definedName>
    <definedName function="false" hidden="false" localSheetId="7" name="_xlnm.Print_Area" vbProcedure="false">'Debt Schedule'!$A$1:$AD$47</definedName>
    <definedName function="false" hidden="false" localSheetId="7" name="_xlnm.Print_Titles" vbProcedure="false">'Debt Schedule'!$7:$11</definedName>
    <definedName function="false" hidden="false" localSheetId="6" name="_xlnm.Print_Area" vbProcedure="false">Forecast!$A$1:$W$28</definedName>
    <definedName function="false" hidden="false" localSheetId="6" name="_xlnm.Print_Titles" vbProcedure="false">Forecast!$7:$8</definedName>
    <definedName function="false" hidden="false" localSheetId="3" name="_xlnm.Print_Area" vbProcedure="false">Historicals!$A$1:$R$60</definedName>
    <definedName function="false" hidden="false" localSheetId="3" name="_xlnm.Print_Titles" vbProcedure="false">Historicals!$6:$6</definedName>
    <definedName function="false" hidden="false" localSheetId="8" name="_xlnm.Print_Area" vbProcedure="false">Liquidity!$A$1:$X$48</definedName>
    <definedName function="false" hidden="false" localSheetId="8" name="_xlnm.Print_Titles" vbProcedure="false">Liquidity!$12:$12</definedName>
    <definedName function="false" hidden="false" localSheetId="10" name="_xlnm.Print_Area" vbProcedure="false">Recovery!$A$1:$N$13</definedName>
    <definedName function="false" hidden="false" localSheetId="2" name="_xlnm.Print_Area" vbProcedure="false">'Scenario Comparison'!$A$1:$AE$20</definedName>
    <definedName function="false" hidden="false" localSheetId="2" name="_xlnm.Print_Titles" vbProcedure="false">'Scenario Comparison'!$11:$11</definedName>
    <definedName function="false" hidden="false" localSheetId="11" name="_xlnm.Print_Area" vbProcedure="false">Sensitivities!$A$1:$N$20</definedName>
    <definedName function="false" hidden="false" localSheetId="12" name="_xlnm.Print_Area" vbProcedure="false">Sources!$A$1:$M$61</definedName>
    <definedName function="false" hidden="false" localSheetId="12" name="_xlnm.Print_Titles" vbProcedure="false">Sources!$1:$1</definedName>
    <definedName function="false" hidden="false" localSheetId="5" name="_xlnm.Print_Area" vbProcedure="false">Transaction!$A$1:$N$32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<sst xmlns="http://schemas.openxmlformats.org/spreadsheetml/2006/main" count="5970" uniqueCount="1292">
  <si>
    <t xml:space="preserve">Quanex credit underwriting summary</t>
  </si>
  <si>
    <t xml:space="preserve">Case selected:</t>
  </si>
  <si>
    <t xml:space="preserve">Phase 8 model — final credit recommendation pending Phase 10</t>
  </si>
  <si>
    <t xml:space="preserve">Transaction and opening position</t>
  </si>
  <si>
    <t xml:space="preserve">Warnings, protections and unresolved conditions</t>
  </si>
  <si>
    <t xml:space="preserve">Borrower</t>
  </si>
  <si>
    <t xml:space="preserve">Quanex Building Products Corporation</t>
  </si>
  <si>
    <t xml:space="preserve">Status</t>
  </si>
  <si>
    <t xml:space="preserve">Date / value</t>
  </si>
  <si>
    <t xml:space="preserve">Interpretation</t>
  </si>
  <si>
    <t xml:space="preserve">Information cutoff</t>
  </si>
  <si>
    <t xml:space="preserve">First warning</t>
  </si>
  <si>
    <t xml:space="preserve">Analyst warning; does not terminate draws</t>
  </si>
  <si>
    <t xml:space="preserve">Hypothetical closing</t>
  </si>
  <si>
    <t xml:space="preserve">First covenant breach</t>
  </si>
  <si>
    <t xml:space="preserve">Proposed maintenance test</t>
  </si>
  <si>
    <t xml:space="preserve">Selected structure</t>
  </si>
  <si>
    <t xml:space="preserve">$635m term / $300m revolver / $15m conditional source</t>
  </si>
  <si>
    <t xml:space="preserve">First draw shutoff</t>
  </si>
  <si>
    <t xml:space="preserve">Path-specific no-waiver convention</t>
  </si>
  <si>
    <t xml:space="preserve">Bank hold cap</t>
  </si>
  <si>
    <t xml:space="preserve">First mandatory-payment failure</t>
  </si>
  <si>
    <t xml:space="preserve">Separate from covenant and liquidity status</t>
  </si>
  <si>
    <t xml:space="preserve">Opening total funded debt</t>
  </si>
  <si>
    <t xml:space="preserve">Maturity gap</t>
  </si>
  <si>
    <t xml:space="preserve">No maturity refinancing assumed</t>
  </si>
  <si>
    <t xml:space="preserve">Opening gross leverage</t>
  </si>
  <si>
    <t xml:space="preserve">Selected-case outcomes</t>
  </si>
  <si>
    <t xml:space="preserve">Type</t>
  </si>
  <si>
    <t xml:space="preserve">Item</t>
  </si>
  <si>
    <t xml:space="preserve">FY2026 post-closing lender-base EBITDA</t>
  </si>
  <si>
    <t xml:space="preserve">Risk</t>
  </si>
  <si>
    <t xml:space="preserve">Tyman integration / $302.284m impairment</t>
  </si>
  <si>
    <t xml:space="preserve">Major adverse forecasting signal</t>
  </si>
  <si>
    <t xml:space="preserve">Modeled operating cash</t>
  </si>
  <si>
    <t xml:space="preserve">Adjustment-heavy earnings / cash conversion</t>
  </si>
  <si>
    <t xml:space="preserve">Monitor</t>
  </si>
  <si>
    <t xml:space="preserve">CFADS through maturity</t>
  </si>
  <si>
    <t xml:space="preserve">Protection</t>
  </si>
  <si>
    <t xml:space="preserve">3.50x / 3.25x / 3.00x gross leverage covenant</t>
  </si>
  <si>
    <t xml:space="preserve">Proposed</t>
  </si>
  <si>
    <t xml:space="preserve">Cash interest</t>
  </si>
  <si>
    <t xml:space="preserve">50% ECF sweep / distribution restrictions</t>
  </si>
  <si>
    <t xml:space="preserve">Opening usable liquidity</t>
  </si>
  <si>
    <t xml:space="preserve">Condition</t>
  </si>
  <si>
    <t xml:space="preserve">$15m source / separate $25m cash floor</t>
  </si>
  <si>
    <t xml:space="preserve">Pending information</t>
  </si>
  <si>
    <t xml:space="preserve">Subsequent minimum liquidity</t>
  </si>
  <si>
    <t xml:space="preserve">Closing LTM interest / official compliance</t>
  </si>
  <si>
    <t xml:space="preserve">N/D</t>
  </si>
  <si>
    <t xml:space="preserve">All-in minimum liquidity</t>
  </si>
  <si>
    <t xml:space="preserve">Debt / EBITDA / ECF / cure / draw definitions</t>
  </si>
  <si>
    <t xml:space="preserve">Pending legal diligence</t>
  </si>
  <si>
    <t xml:space="preserve">Maximum gross leverage</t>
  </si>
  <si>
    <t xml:space="preserve">Alternative</t>
  </si>
  <si>
    <t xml:space="preserve">Retain or amend existing facilities</t>
  </si>
  <si>
    <t xml:space="preserve">Live alternative; amendment economics N/D</t>
  </si>
  <si>
    <t xml:space="preserve">Minimum cash-interest coverage</t>
  </si>
  <si>
    <t xml:space="preserve">Closing cash-interest coverage</t>
  </si>
  <si>
    <t xml:space="preserve">Common-horizon ending funded debt</t>
  </si>
  <si>
    <t xml:space="preserve">Unsupported maturity gap</t>
  </si>
  <si>
    <t xml:space="preserve">Quanex underwriting assumptions</t>
  </si>
  <si>
    <t xml:space="preserve">Base</t>
  </si>
  <si>
    <t xml:space="preserve">Scenario ID</t>
  </si>
  <si>
    <t xml:space="preserve">Approved input version</t>
  </si>
  <si>
    <t xml:space="preserve">58e1b83a644021b785162d851e1539dd65dff9f5</t>
  </si>
  <si>
    <t xml:space="preserve">Current input signature</t>
  </si>
  <si>
    <t xml:space="preserve">Source-file hash</t>
  </si>
  <si>
    <t xml:space="preserve">126ef393472d5f74abd447b237b1319643c1effb36a37f052496b114af1a6fe1</t>
  </si>
  <si>
    <t xml:space="preserve">Financing, covenant and sensitivity controls</t>
  </si>
  <si>
    <t xml:space="preserve">Policy, status and unresolved-definition register</t>
  </si>
  <si>
    <t xml:space="preserve">Control</t>
  </si>
  <si>
    <t xml:space="preserve">Value</t>
  </si>
  <si>
    <t xml:space="preserve">Units</t>
  </si>
  <si>
    <t xml:space="preserve">Source / assumption ID</t>
  </si>
  <si>
    <t xml:space="preserve">Status / limitation</t>
  </si>
  <si>
    <t xml:space="preserve">Area</t>
  </si>
  <si>
    <t xml:space="preserve">Approved rule / unresolved item</t>
  </si>
  <si>
    <t xml:space="preserve">Source</t>
  </si>
  <si>
    <t xml:space="preserve">Workbook treatment</t>
  </si>
  <si>
    <t xml:space="preserve">Term commitment</t>
  </si>
  <si>
    <t xml:space="preserve">USD millions</t>
  </si>
  <si>
    <t xml:space="preserve">P7FA-002</t>
  </si>
  <si>
    <t xml:space="preserve">Owner-reviewed provisional</t>
  </si>
  <si>
    <t xml:space="preserve">Repurchases</t>
  </si>
  <si>
    <t xml:space="preserve">No directly debt-funded repurchases; none while revolver is outstanding</t>
  </si>
  <si>
    <t xml:space="preserve">Owner reviewed</t>
  </si>
  <si>
    <t xml:space="preserve">P7FA-030</t>
  </si>
  <si>
    <t xml:space="preserve">No unapproved cash-flow benefit</t>
  </si>
  <si>
    <t xml:space="preserve">Conditional non-debt contribution</t>
  </si>
  <si>
    <t xml:space="preserve">P7FA-007</t>
  </si>
  <si>
    <t xml:space="preserve">Pending evidence; separate from cash floor</t>
  </si>
  <si>
    <t xml:space="preserve">Dividends</t>
  </si>
  <si>
    <t xml:space="preserve">Require no default, gross leverage &lt;=3.00x and usable liquidity &gt;=$75m after payment</t>
  </si>
  <si>
    <t xml:space="preserve">Approved Phase 7 scenario cash flows retained</t>
  </si>
  <si>
    <t xml:space="preserve">Revolver commitment</t>
  </si>
  <si>
    <t xml:space="preserve">P7FA-009</t>
  </si>
  <si>
    <t xml:space="preserve">Warning</t>
  </si>
  <si>
    <t xml:space="preserve">Suspends repurchases and triggers enhanced reporting</t>
  </si>
  <si>
    <t xml:space="preserve">P7FA-027/P7FA-028</t>
  </si>
  <si>
    <t xml:space="preserve">Warning alone does not terminate draws</t>
  </si>
  <si>
    <t xml:space="preserve">Opening revolver</t>
  </si>
  <si>
    <t xml:space="preserve">Formula</t>
  </si>
  <si>
    <t xml:space="preserve">Reference uses less term and contribution</t>
  </si>
  <si>
    <t xml:space="preserve">Covenant breach</t>
  </si>
  <si>
    <t xml:space="preserve">Suspends all restricted payments</t>
  </si>
  <si>
    <t xml:space="preserve">Reported separately from warning</t>
  </si>
  <si>
    <t xml:space="preserve">Letters of credit</t>
  </si>
  <si>
    <t xml:space="preserve">P7FA-010</t>
  </si>
  <si>
    <t xml:space="preserve">Inherited reference</t>
  </si>
  <si>
    <t xml:space="preserve">Drawability</t>
  </si>
  <si>
    <t xml:space="preserve">Analytical shutoff, covenant-linked no-waiver and continued-draw paths remain distinct</t>
  </si>
  <si>
    <t xml:space="preserve">P7FA-031</t>
  </si>
  <si>
    <t xml:space="preserve">Selector preserves all approved paths</t>
  </si>
  <si>
    <t xml:space="preserve">Retained other funded debt</t>
  </si>
  <si>
    <t xml:space="preserve">P7FA-013</t>
  </si>
  <si>
    <t xml:space="preserve">Conservative proxy</t>
  </si>
  <si>
    <t xml:space="preserve">Covenant cash</t>
  </si>
  <si>
    <t xml:space="preserve">Eligible covenant cash</t>
  </si>
  <si>
    <t xml:space="preserve">P7FA-012</t>
  </si>
  <si>
    <t xml:space="preserve">Zero cash netting in proposed leverage tests</t>
  </si>
  <si>
    <t xml:space="preserve">Annual term amortization</t>
  </si>
  <si>
    <t xml:space="preserve">percent</t>
  </si>
  <si>
    <t xml:space="preserve">P7FA-016</t>
  </si>
  <si>
    <t xml:space="preserve">Paid quarterly</t>
  </si>
  <si>
    <t xml:space="preserve">Book-cash leverage</t>
  </si>
  <si>
    <t xml:space="preserve">Book cash may not equal accessible covenant cash</t>
  </si>
  <si>
    <t xml:space="preserve">Diagnostic only</t>
  </si>
  <si>
    <t xml:space="preserve">Not covenant or lender net leverage</t>
  </si>
  <si>
    <t xml:space="preserve">Modeled all-in interest rate</t>
  </si>
  <si>
    <t xml:space="preserve">P7FA-020</t>
  </si>
  <si>
    <t xml:space="preserve">Testing assumption</t>
  </si>
  <si>
    <t xml:space="preserve">Conditional source</t>
  </si>
  <si>
    <t xml:space="preserve">$15m non-debt contribution availability and accessibility</t>
  </si>
  <si>
    <t xml:space="preserve">Condition precedent</t>
  </si>
  <si>
    <t xml:space="preserve">Displayed separately; not verified cash</t>
  </si>
  <si>
    <t xml:space="preserve">Incremental interest spread</t>
  </si>
  <si>
    <t xml:space="preserve">Phase 8 control</t>
  </si>
  <si>
    <t xml:space="preserve">Sensitivity overlay</t>
  </si>
  <si>
    <t xml:space="preserve">Closing coverage</t>
  </si>
  <si>
    <t xml:space="preserve">Complete closing LTM cash interest</t>
  </si>
  <si>
    <t xml:space="preserve">P7FA-019</t>
  </si>
  <si>
    <t xml:space="preserve">Closing coverage remains N/D</t>
  </si>
  <si>
    <t xml:space="preserve">EBITDA overlay</t>
  </si>
  <si>
    <t xml:space="preserve">Sensitivity overlay; zero in approved case</t>
  </si>
  <si>
    <t xml:space="preserve">Legal definitions</t>
  </si>
  <si>
    <t xml:space="preserve">Debt, EBITDA, ECF, cure, draw, default and waiver definitions</t>
  </si>
  <si>
    <t xml:space="preserve">P7FA-026</t>
  </si>
  <si>
    <t xml:space="preserve">Not presented as official compliance</t>
  </si>
  <si>
    <t xml:space="preserve">Base DSO</t>
  </si>
  <si>
    <t xml:space="preserve">days</t>
  </si>
  <si>
    <t xml:space="preserve">P5A-004</t>
  </si>
  <si>
    <t xml:space="preserve">Approved testing input</t>
  </si>
  <si>
    <t xml:space="preserve">DSO change</t>
  </si>
  <si>
    <t xml:space="preserve">Operating cash floor</t>
  </si>
  <si>
    <t xml:space="preserve">P7FA-021</t>
  </si>
  <si>
    <t xml:space="preserve">Separate operating control</t>
  </si>
  <si>
    <t xml:space="preserve">Liquidity overlay per period</t>
  </si>
  <si>
    <t xml:space="preserve">ECF sweep</t>
  </si>
  <si>
    <t xml:space="preserve">P7FA-029</t>
  </si>
  <si>
    <t xml:space="preserve">After revolver repayment and safeguards</t>
  </si>
  <si>
    <t xml:space="preserve">Initial leverage covenant</t>
  </si>
  <si>
    <t xml:space="preserve">turns</t>
  </si>
  <si>
    <t xml:space="preserve">P7FA-022</t>
  </si>
  <si>
    <t xml:space="preserve">Through 10/31/27</t>
  </si>
  <si>
    <t xml:space="preserve">Step 1 leverage covenant</t>
  </si>
  <si>
    <t xml:space="preserve">P7FA-023</t>
  </si>
  <si>
    <t xml:space="preserve">Through 10/31/28</t>
  </si>
  <si>
    <t xml:space="preserve">Step 2 leverage covenant</t>
  </si>
  <si>
    <t xml:space="preserve">P7FA-024</t>
  </si>
  <si>
    <t xml:space="preserve">Thereafter</t>
  </si>
  <si>
    <t xml:space="preserve">Interest coverage covenant</t>
  </si>
  <si>
    <t xml:space="preserve">P7FA-025</t>
  </si>
  <si>
    <t xml:space="preserve">Minimum</t>
  </si>
  <si>
    <t xml:space="preserve">Liquidity covenant</t>
  </si>
  <si>
    <t xml:space="preserve">Minimum usable liquidity</t>
  </si>
  <si>
    <t xml:space="preserve">Initial leverage warning</t>
  </si>
  <si>
    <t xml:space="preserve">P7FA-027</t>
  </si>
  <si>
    <t xml:space="preserve">Inclusive warning</t>
  </si>
  <si>
    <t xml:space="preserve">Coverage warning</t>
  </si>
  <si>
    <t xml:space="preserve">P7FA-028</t>
  </si>
  <si>
    <t xml:space="preserve">Minimum analyst warning</t>
  </si>
  <si>
    <t xml:space="preserve">Liquidity warning</t>
  </si>
  <si>
    <t xml:space="preserve">Analyst warning</t>
  </si>
  <si>
    <t xml:space="preserve">Maturity</t>
  </si>
  <si>
    <t xml:space="preserve">date</t>
  </si>
  <si>
    <t xml:space="preserve">P7FA-017</t>
  </si>
  <si>
    <t xml:space="preserve">No refinancing assumed</t>
  </si>
  <si>
    <t xml:space="preserve">scenario name</t>
  </si>
  <si>
    <t xml:space="preserve">scenario id</t>
  </si>
  <si>
    <t xml:space="preserve">model period id</t>
  </si>
  <si>
    <t xml:space="preserve">frequency</t>
  </si>
  <si>
    <t xml:space="preserve">period start</t>
  </si>
  <si>
    <t xml:space="preserve">period end</t>
  </si>
  <si>
    <t xml:space="preserve">fiscal year</t>
  </si>
  <si>
    <t xml:space="preserve">quarter</t>
  </si>
  <si>
    <t xml:space="preserve">days in period</t>
  </si>
  <si>
    <t xml:space="preserve">revenue</t>
  </si>
  <si>
    <t xml:space="preserve">base gross margin percent</t>
  </si>
  <si>
    <t xml:space="preserve">lender base ebitda</t>
  </si>
  <si>
    <t xml:space="preserve">depreciation and amortization</t>
  </si>
  <si>
    <t xml:space="preserve">cash tax proxy</t>
  </si>
  <si>
    <t xml:space="preserve">working capital cash flow</t>
  </si>
  <si>
    <t xml:space="preserve">capital expenditures</t>
  </si>
  <si>
    <t xml:space="preserve">other operating cash uses</t>
  </si>
  <si>
    <t xml:space="preserve">cfads before cash interest</t>
  </si>
  <si>
    <t xml:space="preserve">opening cash</t>
  </si>
  <si>
    <t xml:space="preserve">ending cash</t>
  </si>
  <si>
    <t xml:space="preserve">opening term principal</t>
  </si>
  <si>
    <t xml:space="preserve">scheduled term principal due</t>
  </si>
  <si>
    <t xml:space="preserve">scheduled term principal paid</t>
  </si>
  <si>
    <t xml:space="preserve">cash sweep</t>
  </si>
  <si>
    <t xml:space="preserve">maturity principal due</t>
  </si>
  <si>
    <t xml:space="preserve">maturity principal paid</t>
  </si>
  <si>
    <t xml:space="preserve">ending term principal</t>
  </si>
  <si>
    <t xml:space="preserve">opening revolver</t>
  </si>
  <si>
    <t xml:space="preserve">revolver draw</t>
  </si>
  <si>
    <t xml:space="preserve">revolver repayment</t>
  </si>
  <si>
    <t xml:space="preserve">ending revolver</t>
  </si>
  <si>
    <t xml:space="preserve">cash interest due</t>
  </si>
  <si>
    <t xml:space="preserve">cash interest paid</t>
  </si>
  <si>
    <t xml:space="preserve">retained obligation paid</t>
  </si>
  <si>
    <t xml:space="preserve">dividend paid</t>
  </si>
  <si>
    <t xml:space="preserve">repurchase paid</t>
  </si>
  <si>
    <t xml:space="preserve">failed obligation unpaid amount</t>
  </si>
  <si>
    <t xml:space="preserve">gross funded debt</t>
  </si>
  <si>
    <t xml:space="preserve">minimum usable liquidity</t>
  </si>
  <si>
    <t xml:space="preserve">peak revolver</t>
  </si>
  <si>
    <t xml:space="preserve">nominal revolver availability</t>
  </si>
  <si>
    <t xml:space="preserve">drawability status</t>
  </si>
  <si>
    <t xml:space="preserve">drawability shutoff date</t>
  </si>
  <si>
    <t xml:space="preserve">ttm lender base ebitda</t>
  </si>
  <si>
    <t xml:space="preserve">gross funded leverage</t>
  </si>
  <si>
    <t xml:space="preserve">ebitda cash interest coverage</t>
  </si>
  <si>
    <t xml:space="preserve">unsupported maturity gap</t>
  </si>
  <si>
    <t xml:space="preserve">maturity event</t>
  </si>
  <si>
    <t xml:space="preserve">mandatory payment failure flag</t>
  </si>
  <si>
    <t xml:space="preserve">model status</t>
  </si>
  <si>
    <t xml:space="preserve">source ids</t>
  </si>
  <si>
    <t xml:space="preserve">upstream ids</t>
  </si>
  <si>
    <t xml:space="preserve">first warning</t>
  </si>
  <si>
    <t xml:space="preserve">first breach</t>
  </si>
  <si>
    <t xml:space="preserve">first shutoff</t>
  </si>
  <si>
    <t xml:space="preserve">first payment failure</t>
  </si>
  <si>
    <t xml:space="preserve">common ending debt</t>
  </si>
  <si>
    <t xml:space="preserve">maturity gap</t>
  </si>
  <si>
    <t xml:space="preserve">opening liquidity</t>
  </si>
  <si>
    <t xml:space="preserve">subsequent minimum</t>
  </si>
  <si>
    <t xml:space="preserve">all in minimum</t>
  </si>
  <si>
    <t xml:space="preserve">maximum leverage</t>
  </si>
  <si>
    <t xml:space="preserve">minimum coverage</t>
  </si>
  <si>
    <t xml:space="preserve">BASE</t>
  </si>
  <si>
    <t xml:space="preserve">P001</t>
  </si>
  <si>
    <t xml:space="preserve">monthly</t>
  </si>
  <si>
    <t xml:space="preserve">FY2026</t>
  </si>
  <si>
    <t xml:space="preserve">Q2</t>
  </si>
  <si>
    <t xml:space="preserve">available_before_analytical_shutoff</t>
  </si>
  <si>
    <t xml:space="preserve">no</t>
  </si>
  <si>
    <t xml:space="preserve">PASS</t>
  </si>
  <si>
    <t xml:space="preserve">SRC-001;SRC-002;SRC-003</t>
  </si>
  <si>
    <t xml:space="preserve">P6M-BASE-P-0001:P6M-BASE-P-0001</t>
  </si>
  <si>
    <t xml:space="preserve">P002</t>
  </si>
  <si>
    <t xml:space="preserve">P6M-BASE-P-0002:P6M-BASE-P-0002</t>
  </si>
  <si>
    <t xml:space="preserve">Moderate unmitigated</t>
  </si>
  <si>
    <t xml:space="preserve">MODERATE_UNMITIGATED</t>
  </si>
  <si>
    <t xml:space="preserve">2026-10-31</t>
  </si>
  <si>
    <t xml:space="preserve">P003</t>
  </si>
  <si>
    <t xml:space="preserve">P6M-BASE-P-0003:P6M-BASE-P-0003</t>
  </si>
  <si>
    <t xml:space="preserve">Moderate mitigated</t>
  </si>
  <si>
    <t xml:space="preserve">MODERATE_MITIGATED</t>
  </si>
  <si>
    <t xml:space="preserve">P004</t>
  </si>
  <si>
    <t xml:space="preserve">Q3</t>
  </si>
  <si>
    <t xml:space="preserve">P6M-BASE-P-0004:P6M-BASE-P-0004</t>
  </si>
  <si>
    <t xml:space="preserve">Severe unmitigated</t>
  </si>
  <si>
    <t xml:space="preserve">SEVERE_UNMITIGATED</t>
  </si>
  <si>
    <t xml:space="preserve">2026-04-30</t>
  </si>
  <si>
    <t xml:space="preserve">2027-12-31</t>
  </si>
  <si>
    <t xml:space="preserve">P005</t>
  </si>
  <si>
    <t xml:space="preserve">P6M-BASE-P-0005:P6M-BASE-P-0005</t>
  </si>
  <si>
    <t xml:space="preserve">Severe mitigated</t>
  </si>
  <si>
    <t xml:space="preserve">SEVERE_MITIGATED</t>
  </si>
  <si>
    <t xml:space="preserve">2028-01-31</t>
  </si>
  <si>
    <t xml:space="preserve">P006</t>
  </si>
  <si>
    <t xml:space="preserve">P6M-BASE-P-0006:P6M-BASE-P-0006</t>
  </si>
  <si>
    <t xml:space="preserve">Moderate Phase 6 analytical shutoff</t>
  </si>
  <si>
    <t xml:space="preserve">MODERATE_NO_WAIVER</t>
  </si>
  <si>
    <t xml:space="preserve">2026-11-30</t>
  </si>
  <si>
    <t xml:space="preserve">P007</t>
  </si>
  <si>
    <t xml:space="preserve">Q4</t>
  </si>
  <si>
    <t xml:space="preserve">P6M-BASE-P-0007:P6M-BASE-P-0007</t>
  </si>
  <si>
    <t xml:space="preserve">Severe Phase 6 analytical shutoff</t>
  </si>
  <si>
    <t xml:space="preserve">SEVERE_NO_WAIVER</t>
  </si>
  <si>
    <t xml:space="preserve">2027-02-28</t>
  </si>
  <si>
    <t xml:space="preserve">P008</t>
  </si>
  <si>
    <t xml:space="preserve">P6M-BASE-P-0008:P6M-BASE-P-0008</t>
  </si>
  <si>
    <t xml:space="preserve">Moderate Phase 7 covenant-linked no-waiver</t>
  </si>
  <si>
    <t xml:space="preserve">MODERATE_PHASE7_COVENANT_NO_WAIVER</t>
  </si>
  <si>
    <t xml:space="preserve">P009</t>
  </si>
  <si>
    <t xml:space="preserve">P6M-BASE-P-0009:P6M-BASE-P-0009</t>
  </si>
  <si>
    <t xml:space="preserve">Severe Phase 7 covenant-linked no-waiver</t>
  </si>
  <si>
    <t xml:space="preserve">SEVERE_PHASE7_COVENANT_NO_WAIVER</t>
  </si>
  <si>
    <t xml:space="preserve">P010</t>
  </si>
  <si>
    <t xml:space="preserve">FY2027</t>
  </si>
  <si>
    <t xml:space="preserve">Q1</t>
  </si>
  <si>
    <t xml:space="preserve">P6M-BASE-P-0010:P6M-BASE-P-0010</t>
  </si>
  <si>
    <t xml:space="preserve">P011</t>
  </si>
  <si>
    <t xml:space="preserve">P6M-BASE-P-0011:P6M-BASE-P-0011</t>
  </si>
  <si>
    <t xml:space="preserve">P012</t>
  </si>
  <si>
    <t xml:space="preserve">P6M-BASE-P-0012:P6M-BASE-P-0012</t>
  </si>
  <si>
    <t xml:space="preserve">P013</t>
  </si>
  <si>
    <t xml:space="preserve">P6M-BASE-P-0013:P6M-BASE-P-0013</t>
  </si>
  <si>
    <t xml:space="preserve">P014</t>
  </si>
  <si>
    <t xml:space="preserve">P6M-BASE-P-0014:P6M-BASE-P-0014</t>
  </si>
  <si>
    <t xml:space="preserve">P015</t>
  </si>
  <si>
    <t xml:space="preserve">P6M-BASE-P-0015:P6M-BASE-P-0015</t>
  </si>
  <si>
    <t xml:space="preserve">P016</t>
  </si>
  <si>
    <t xml:space="preserve">P6M-BASE-P-0016:P6M-BASE-P-0016</t>
  </si>
  <si>
    <t xml:space="preserve">P017</t>
  </si>
  <si>
    <t xml:space="preserve">P6M-BASE-P-0017:P6M-BASE-P-0017</t>
  </si>
  <si>
    <t xml:space="preserve">P018</t>
  </si>
  <si>
    <t xml:space="preserve">P6M-BASE-P-0018:P6M-BASE-P-0018</t>
  </si>
  <si>
    <t xml:space="preserve">P019</t>
  </si>
  <si>
    <t xml:space="preserve">P6M-BASE-P-0019:P6M-BASE-P-0019</t>
  </si>
  <si>
    <t xml:space="preserve">P020</t>
  </si>
  <si>
    <t xml:space="preserve">P6M-BASE-P-0020:P6M-BASE-P-0020</t>
  </si>
  <si>
    <t xml:space="preserve">P021</t>
  </si>
  <si>
    <t xml:space="preserve">P6M-BASE-P-0021:P6M-BASE-P-0021</t>
  </si>
  <si>
    <t xml:space="preserve">P022</t>
  </si>
  <si>
    <t xml:space="preserve">FY2028</t>
  </si>
  <si>
    <t xml:space="preserve">P6M-BASE-P-0022:P6M-BASE-P-0022</t>
  </si>
  <si>
    <t xml:space="preserve">P023</t>
  </si>
  <si>
    <t xml:space="preserve">P6M-BASE-P-0023:P6M-BASE-P-0023</t>
  </si>
  <si>
    <t xml:space="preserve">P024</t>
  </si>
  <si>
    <t xml:space="preserve">P6M-BASE-P-0024:P6M-BASE-P-0024</t>
  </si>
  <si>
    <t xml:space="preserve">P025</t>
  </si>
  <si>
    <t xml:space="preserve">quarterly</t>
  </si>
  <si>
    <t xml:space="preserve">P6M-BASE-P-0025:P6M-BASE-P-0027</t>
  </si>
  <si>
    <t xml:space="preserve">P026</t>
  </si>
  <si>
    <t xml:space="preserve">P6M-BASE-P-0028:P6M-BASE-P-0030</t>
  </si>
  <si>
    <t xml:space="preserve">P027</t>
  </si>
  <si>
    <t xml:space="preserve">P6M-BASE-P-0031:P6M-BASE-P-0033</t>
  </si>
  <si>
    <t xml:space="preserve">P028</t>
  </si>
  <si>
    <t xml:space="preserve">FY2029</t>
  </si>
  <si>
    <t xml:space="preserve">P6M-BASE-P-0034:P6M-BASE-P-0036</t>
  </si>
  <si>
    <t xml:space="preserve">P029</t>
  </si>
  <si>
    <t xml:space="preserve">P6M-BASE-P-0037:P6M-BASE-P-0039</t>
  </si>
  <si>
    <t xml:space="preserve">P030</t>
  </si>
  <si>
    <t xml:space="preserve">P6M-BASE-P-0040:P6M-BASE-P-0042</t>
  </si>
  <si>
    <t xml:space="preserve">P031</t>
  </si>
  <si>
    <t xml:space="preserve">P6M-BASE-P-0043:P6M-BASE-P-0045</t>
  </si>
  <si>
    <t xml:space="preserve">P032</t>
  </si>
  <si>
    <t xml:space="preserve">FY2030</t>
  </si>
  <si>
    <t xml:space="preserve">P6M-BASE-P-0046:P6M-BASE-P-0048</t>
  </si>
  <si>
    <t xml:space="preserve">P033</t>
  </si>
  <si>
    <t xml:space="preserve">P6M-BASE-P-0049:P6M-BASE-P-0051</t>
  </si>
  <si>
    <t xml:space="preserve">P034</t>
  </si>
  <si>
    <t xml:space="preserve">P6M-BASE-P-0052:P6M-BASE-P-0054</t>
  </si>
  <si>
    <t xml:space="preserve">P035</t>
  </si>
  <si>
    <t xml:space="preserve">P6M-BASE-P-0055:P6M-BASE-P-0057</t>
  </si>
  <si>
    <t xml:space="preserve">P036</t>
  </si>
  <si>
    <t xml:space="preserve">FY2031</t>
  </si>
  <si>
    <t xml:space="preserve">yes</t>
  </si>
  <si>
    <t xml:space="preserve">MATURITY_SHORTFALL</t>
  </si>
  <si>
    <t xml:space="preserve">P6M-BASE-P-0058:P6M-BASE-P-0060</t>
  </si>
  <si>
    <t xml:space="preserve">P6M-MODERATE_UNMITIGATED-P-0001:P6M-MODERATE_UNMITIGATED-P-0001</t>
  </si>
  <si>
    <t xml:space="preserve">P6M-MODERATE_UNMITIGATED-P-0002:P6M-MODERATE_UNMITIGATED-P-0002</t>
  </si>
  <si>
    <t xml:space="preserve">P6M-MODERATE_UNMITIGATED-P-0003:P6M-MODERATE_UNMITIGATED-P-0003</t>
  </si>
  <si>
    <t xml:space="preserve">P6M-MODERATE_UNMITIGATED-P-0004:P6M-MODERATE_UNMITIGATED-P-0004</t>
  </si>
  <si>
    <t xml:space="preserve">P6M-MODERATE_UNMITIGATED-P-0005:P6M-MODERATE_UNMITIGATED-P-0005</t>
  </si>
  <si>
    <t xml:space="preserve">P6M-MODERATE_UNMITIGATED-P-0006:P6M-MODERATE_UNMITIGATED-P-0006</t>
  </si>
  <si>
    <t xml:space="preserve">P6M-MODERATE_UNMITIGATED-P-0007:P6M-MODERATE_UNMITIGATED-P-0007</t>
  </si>
  <si>
    <t xml:space="preserve">P6M-MODERATE_UNMITIGATED-P-0008:P6M-MODERATE_UNMITIGATED-P-0008</t>
  </si>
  <si>
    <t xml:space="preserve">continued_draw_or_waiver_after_warning</t>
  </si>
  <si>
    <t xml:space="preserve">BREACHED_ANALYTICAL_THRESHOLD</t>
  </si>
  <si>
    <t xml:space="preserve">P6M-MODERATE_UNMITIGATED-P-0009:P6M-MODERATE_UNMITIGATED-P-0009</t>
  </si>
  <si>
    <t xml:space="preserve">P6M-MODERATE_UNMITIGATED-P-0010:P6M-MODERATE_UNMITIGATED-P-0010</t>
  </si>
  <si>
    <t xml:space="preserve">P6M-MODERATE_UNMITIGATED-P-0011:P6M-MODERATE_UNMITIGATED-P-0011</t>
  </si>
  <si>
    <t xml:space="preserve">P6M-MODERATE_UNMITIGATED-P-0012:P6M-MODERATE_UNMITIGATED-P-0012</t>
  </si>
  <si>
    <t xml:space="preserve">P6M-MODERATE_UNMITIGATED-P-0013:P6M-MODERATE_UNMITIGATED-P-0013</t>
  </si>
  <si>
    <t xml:space="preserve">P6M-MODERATE_UNMITIGATED-P-0014:P6M-MODERATE_UNMITIGATED-P-0014</t>
  </si>
  <si>
    <t xml:space="preserve">P6M-MODERATE_UNMITIGATED-P-0015:P6M-MODERATE_UNMITIGATED-P-0015</t>
  </si>
  <si>
    <t xml:space="preserve">P6M-MODERATE_UNMITIGATED-P-0016:P6M-MODERATE_UNMITIGATED-P-0016</t>
  </si>
  <si>
    <t xml:space="preserve">P6M-MODERATE_UNMITIGATED-P-0017:P6M-MODERATE_UNMITIGATED-P-0017</t>
  </si>
  <si>
    <t xml:space="preserve">P6M-MODERATE_UNMITIGATED-P-0018:P6M-MODERATE_UNMITIGATED-P-0018</t>
  </si>
  <si>
    <t xml:space="preserve">P6M-MODERATE_UNMITIGATED-P-0019:P6M-MODERATE_UNMITIGATED-P-0019</t>
  </si>
  <si>
    <t xml:space="preserve">P6M-MODERATE_UNMITIGATED-P-0020:P6M-MODERATE_UNMITIGATED-P-0020</t>
  </si>
  <si>
    <t xml:space="preserve">P6M-MODERATE_UNMITIGATED-P-0021:P6M-MODERATE_UNMITIGATED-P-0021</t>
  </si>
  <si>
    <t xml:space="preserve">P6M-MODERATE_UNMITIGATED-P-0022:P6M-MODERATE_UNMITIGATED-P-0022</t>
  </si>
  <si>
    <t xml:space="preserve">P6M-MODERATE_UNMITIGATED-P-0023:P6M-MODERATE_UNMITIGATED-P-0023</t>
  </si>
  <si>
    <t xml:space="preserve">P6M-MODERATE_UNMITIGATED-P-0024:P6M-MODERATE_UNMITIGATED-P-0024</t>
  </si>
  <si>
    <t xml:space="preserve">P6M-MODERATE_UNMITIGATED-P-0025:P6M-MODERATE_UNMITIGATED-P-0027</t>
  </si>
  <si>
    <t xml:space="preserve">P6M-MODERATE_UNMITIGATED-P-0028:P6M-MODERATE_UNMITIGATED-P-0030</t>
  </si>
  <si>
    <t xml:space="preserve">P6M-MODERATE_UNMITIGATED-P-0031:P6M-MODERATE_UNMITIGATED-P-0033</t>
  </si>
  <si>
    <t xml:space="preserve">P6M-MODERATE_UNMITIGATED-P-0034:P6M-MODERATE_UNMITIGATED-P-0036</t>
  </si>
  <si>
    <t xml:space="preserve">P6M-MODERATE_UNMITIGATED-P-0037:P6M-MODERATE_UNMITIGATED-P-0039</t>
  </si>
  <si>
    <t xml:space="preserve">P6M-MODERATE_UNMITIGATED-P-0040:P6M-MODERATE_UNMITIGATED-P-0042</t>
  </si>
  <si>
    <t xml:space="preserve">P6M-MODERATE_UNMITIGATED-P-0043:P6M-MODERATE_UNMITIGATED-P-0045</t>
  </si>
  <si>
    <t xml:space="preserve">P6M-MODERATE_UNMITIGATED-P-0046:P6M-MODERATE_UNMITIGATED-P-0048</t>
  </si>
  <si>
    <t xml:space="preserve">P6M-MODERATE_UNMITIGATED-P-0049:P6M-MODERATE_UNMITIGATED-P-0051</t>
  </si>
  <si>
    <t xml:space="preserve">P6M-MODERATE_UNMITIGATED-P-0052:P6M-MODERATE_UNMITIGATED-P-0054</t>
  </si>
  <si>
    <t xml:space="preserve">P6M-MODERATE_UNMITIGATED-P-0055:P6M-MODERATE_UNMITIGATED-P-0057</t>
  </si>
  <si>
    <t xml:space="preserve">P6M-MODERATE_UNMITIGATED-P-0058:P6M-MODERATE_UNMITIGATED-P-0060</t>
  </si>
  <si>
    <t xml:space="preserve">P6M-MODERATE_MITIGATED-P-0001:P6M-MODERATE_MITIGATED-P-0001</t>
  </si>
  <si>
    <t xml:space="preserve">P6M-MODERATE_MITIGATED-P-0002:P6M-MODERATE_MITIGATED-P-0002</t>
  </si>
  <si>
    <t xml:space="preserve">P6M-MODERATE_MITIGATED-P-0003:P6M-MODERATE_MITIGATED-P-0003</t>
  </si>
  <si>
    <t xml:space="preserve">P6M-MODERATE_MITIGATED-P-0004:P6M-MODERATE_MITIGATED-P-0004</t>
  </si>
  <si>
    <t xml:space="preserve">P6M-MODERATE_MITIGATED-P-0005:P6M-MODERATE_MITIGATED-P-0005</t>
  </si>
  <si>
    <t xml:space="preserve">P6M-MODERATE_MITIGATED-P-0006:P6M-MODERATE_MITIGATED-P-0006</t>
  </si>
  <si>
    <t xml:space="preserve">P6M-MODERATE_MITIGATED-P-0007:P6M-MODERATE_MITIGATED-P-0007</t>
  </si>
  <si>
    <t xml:space="preserve">P6M-MODERATE_MITIGATED-P-0008:P6M-MODERATE_MITIGATED-P-0008</t>
  </si>
  <si>
    <t xml:space="preserve">P6M-MODERATE_MITIGATED-P-0009:P6M-MODERATE_MITIGATED-P-0009</t>
  </si>
  <si>
    <t xml:space="preserve">P6M-MODERATE_MITIGATED-P-0010:P6M-MODERATE_MITIGATED-P-0010</t>
  </si>
  <si>
    <t xml:space="preserve">P6M-MODERATE_MITIGATED-P-0011:P6M-MODERATE_MITIGATED-P-0011</t>
  </si>
  <si>
    <t xml:space="preserve">P6M-MODERATE_MITIGATED-P-0012:P6M-MODERATE_MITIGATED-P-0012</t>
  </si>
  <si>
    <t xml:space="preserve">P6M-MODERATE_MITIGATED-P-0013:P6M-MODERATE_MITIGATED-P-0013</t>
  </si>
  <si>
    <t xml:space="preserve">P6M-MODERATE_MITIGATED-P-0014:P6M-MODERATE_MITIGATED-P-0014</t>
  </si>
  <si>
    <t xml:space="preserve">P6M-MODERATE_MITIGATED-P-0015:P6M-MODERATE_MITIGATED-P-0015</t>
  </si>
  <si>
    <t xml:space="preserve">P6M-MODERATE_MITIGATED-P-0016:P6M-MODERATE_MITIGATED-P-0016</t>
  </si>
  <si>
    <t xml:space="preserve">P6M-MODERATE_MITIGATED-P-0017:P6M-MODERATE_MITIGATED-P-0017</t>
  </si>
  <si>
    <t xml:space="preserve">P6M-MODERATE_MITIGATED-P-0018:P6M-MODERATE_MITIGATED-P-0018</t>
  </si>
  <si>
    <t xml:space="preserve">P6M-MODERATE_MITIGATED-P-0019:P6M-MODERATE_MITIGATED-P-0019</t>
  </si>
  <si>
    <t xml:space="preserve">P6M-MODERATE_MITIGATED-P-0020:P6M-MODERATE_MITIGATED-P-0020</t>
  </si>
  <si>
    <t xml:space="preserve">P6M-MODERATE_MITIGATED-P-0021:P6M-MODERATE_MITIGATED-P-0021</t>
  </si>
  <si>
    <t xml:space="preserve">P6M-MODERATE_MITIGATED-P-0022:P6M-MODERATE_MITIGATED-P-0022</t>
  </si>
  <si>
    <t xml:space="preserve">P6M-MODERATE_MITIGATED-P-0023:P6M-MODERATE_MITIGATED-P-0023</t>
  </si>
  <si>
    <t xml:space="preserve">P6M-MODERATE_MITIGATED-P-0024:P6M-MODERATE_MITIGATED-P-0024</t>
  </si>
  <si>
    <t xml:space="preserve">P6M-MODERATE_MITIGATED-P-0025:P6M-MODERATE_MITIGATED-P-0027</t>
  </si>
  <si>
    <t xml:space="preserve">P6M-MODERATE_MITIGATED-P-0028:P6M-MODERATE_MITIGATED-P-0030</t>
  </si>
  <si>
    <t xml:space="preserve">P6M-MODERATE_MITIGATED-P-0031:P6M-MODERATE_MITIGATED-P-0033</t>
  </si>
  <si>
    <t xml:space="preserve">P6M-MODERATE_MITIGATED-P-0034:P6M-MODERATE_MITIGATED-P-0036</t>
  </si>
  <si>
    <t xml:space="preserve">P6M-MODERATE_MITIGATED-P-0037:P6M-MODERATE_MITIGATED-P-0039</t>
  </si>
  <si>
    <t xml:space="preserve">P6M-MODERATE_MITIGATED-P-0040:P6M-MODERATE_MITIGATED-P-0042</t>
  </si>
  <si>
    <t xml:space="preserve">P6M-MODERATE_MITIGATED-P-0043:P6M-MODERATE_MITIGATED-P-0045</t>
  </si>
  <si>
    <t xml:space="preserve">P6M-MODERATE_MITIGATED-P-0046:P6M-MODERATE_MITIGATED-P-0048</t>
  </si>
  <si>
    <t xml:space="preserve">P6M-MODERATE_MITIGATED-P-0049:P6M-MODERATE_MITIGATED-P-0051</t>
  </si>
  <si>
    <t xml:space="preserve">P6M-MODERATE_MITIGATED-P-0052:P6M-MODERATE_MITIGATED-P-0054</t>
  </si>
  <si>
    <t xml:space="preserve">P6M-MODERATE_MITIGATED-P-0055:P6M-MODERATE_MITIGATED-P-0057</t>
  </si>
  <si>
    <t xml:space="preserve">P6M-MODERATE_MITIGATED-P-0058:P6M-MODERATE_MITIGATED-P-0060</t>
  </si>
  <si>
    <t xml:space="preserve">P6M-SEVERE_UNMITIGATED-P-0001:P6M-SEVERE_UNMITIGATED-P-0001</t>
  </si>
  <si>
    <t xml:space="preserve">P6M-SEVERE_UNMITIGATED-P-0002:P6M-SEVERE_UNMITIGATED-P-0002</t>
  </si>
  <si>
    <t xml:space="preserve">P6M-SEVERE_UNMITIGATED-P-0003:P6M-SEVERE_UNMITIGATED-P-0003</t>
  </si>
  <si>
    <t xml:space="preserve">P6M-SEVERE_UNMITIGATED-P-0004:P6M-SEVERE_UNMITIGATED-P-0004</t>
  </si>
  <si>
    <t xml:space="preserve">P6M-SEVERE_UNMITIGATED-P-0005:P6M-SEVERE_UNMITIGATED-P-0005</t>
  </si>
  <si>
    <t xml:space="preserve">P6M-SEVERE_UNMITIGATED-P-0006:P6M-SEVERE_UNMITIGATED-P-0006</t>
  </si>
  <si>
    <t xml:space="preserve">P6M-SEVERE_UNMITIGATED-P-0007:P6M-SEVERE_UNMITIGATED-P-0007</t>
  </si>
  <si>
    <t xml:space="preserve">P6M-SEVERE_UNMITIGATED-P-0008:P6M-SEVERE_UNMITIGATED-P-0008</t>
  </si>
  <si>
    <t xml:space="preserve">P6M-SEVERE_UNMITIGATED-P-0009:P6M-SEVERE_UNMITIGATED-P-0009</t>
  </si>
  <si>
    <t xml:space="preserve">P6M-SEVERE_UNMITIGATED-P-0010:P6M-SEVERE_UNMITIGATED-P-0010</t>
  </si>
  <si>
    <t xml:space="preserve">P6M-SEVERE_UNMITIGATED-P-0011:P6M-SEVERE_UNMITIGATED-P-0011</t>
  </si>
  <si>
    <t xml:space="preserve">P6M-SEVERE_UNMITIGATED-P-0012:P6M-SEVERE_UNMITIGATED-P-0012</t>
  </si>
  <si>
    <t xml:space="preserve">P6M-SEVERE_UNMITIGATED-P-0013:P6M-SEVERE_UNMITIGATED-P-0013</t>
  </si>
  <si>
    <t xml:space="preserve">P6M-SEVERE_UNMITIGATED-P-0014:P6M-SEVERE_UNMITIGATED-P-0014</t>
  </si>
  <si>
    <t xml:space="preserve">P6M-SEVERE_UNMITIGATED-P-0015:P6M-SEVERE_UNMITIGATED-P-0015</t>
  </si>
  <si>
    <t xml:space="preserve">P6M-SEVERE_UNMITIGATED-P-0016:P6M-SEVERE_UNMITIGATED-P-0016</t>
  </si>
  <si>
    <t xml:space="preserve">P6M-SEVERE_UNMITIGATED-P-0017:P6M-SEVERE_UNMITIGATED-P-0017</t>
  </si>
  <si>
    <t xml:space="preserve">LIQUIDITY_FAILURE</t>
  </si>
  <si>
    <t xml:space="preserve">P6M-SEVERE_UNMITIGATED-P-0018:P6M-SEVERE_UNMITIGATED-P-0018</t>
  </si>
  <si>
    <t xml:space="preserve">P6M-SEVERE_UNMITIGATED-P-0019:P6M-SEVERE_UNMITIGATED-P-0019</t>
  </si>
  <si>
    <t xml:space="preserve">P6M-SEVERE_UNMITIGATED-P-0020:P6M-SEVERE_UNMITIGATED-P-0020</t>
  </si>
  <si>
    <t xml:space="preserve">P6M-SEVERE_UNMITIGATED-P-0021:P6M-SEVERE_UNMITIGATED-P-0021</t>
  </si>
  <si>
    <t xml:space="preserve">P6M-SEVERE_UNMITIGATED-P-0022:P6M-SEVERE_UNMITIGATED-P-0022</t>
  </si>
  <si>
    <t xml:space="preserve">MANDATORY_PAYMENT_FAILURE</t>
  </si>
  <si>
    <t xml:space="preserve">P6M-SEVERE_UNMITIGATED-P-0023:P6M-SEVERE_UNMITIGATED-P-0023</t>
  </si>
  <si>
    <t xml:space="preserve">P6M-SEVERE_UNMITIGATED-P-0024:P6M-SEVERE_UNMITIGATED-P-0024</t>
  </si>
  <si>
    <t xml:space="preserve">P6M-SEVERE_UNMITIGATED-P-0025:P6M-SEVERE_UNMITIGATED-P-0027</t>
  </si>
  <si>
    <t xml:space="preserve">P6M-SEVERE_UNMITIGATED-P-0028:P6M-SEVERE_UNMITIGATED-P-0030</t>
  </si>
  <si>
    <t xml:space="preserve">P6M-SEVERE_UNMITIGATED-P-0031:P6M-SEVERE_UNMITIGATED-P-0033</t>
  </si>
  <si>
    <t xml:space="preserve">P6M-SEVERE_UNMITIGATED-P-0034:P6M-SEVERE_UNMITIGATED-P-0036</t>
  </si>
  <si>
    <t xml:space="preserve">P6M-SEVERE_UNMITIGATED-P-0037:P6M-SEVERE_UNMITIGATED-P-0039</t>
  </si>
  <si>
    <t xml:space="preserve">P6M-SEVERE_UNMITIGATED-P-0040:P6M-SEVERE_UNMITIGATED-P-0042</t>
  </si>
  <si>
    <t xml:space="preserve">P6M-SEVERE_UNMITIGATED-P-0043:P6M-SEVERE_UNMITIGATED-P-0045</t>
  </si>
  <si>
    <t xml:space="preserve">P6M-SEVERE_UNMITIGATED-P-0046:P6M-SEVERE_UNMITIGATED-P-0048</t>
  </si>
  <si>
    <t xml:space="preserve">P6M-SEVERE_UNMITIGATED-P-0049:P6M-SEVERE_UNMITIGATED-P-0051</t>
  </si>
  <si>
    <t xml:space="preserve">P6M-SEVERE_UNMITIGATED-P-0052:P6M-SEVERE_UNMITIGATED-P-0054</t>
  </si>
  <si>
    <t xml:space="preserve">P6M-SEVERE_UNMITIGATED-P-0055:P6M-SEVERE_UNMITIGATED-P-0057</t>
  </si>
  <si>
    <t xml:space="preserve">P6M-SEVERE_UNMITIGATED-P-0058:P6M-SEVERE_UNMITIGATED-P-0060</t>
  </si>
  <si>
    <t xml:space="preserve">P6M-SEVERE_MITIGATED-P-0001:P6M-SEVERE_MITIGATED-P-0001</t>
  </si>
  <si>
    <t xml:space="preserve">P6M-SEVERE_MITIGATED-P-0002:P6M-SEVERE_MITIGATED-P-0002</t>
  </si>
  <si>
    <t xml:space="preserve">P6M-SEVERE_MITIGATED-P-0003:P6M-SEVERE_MITIGATED-P-0003</t>
  </si>
  <si>
    <t xml:space="preserve">P6M-SEVERE_MITIGATED-P-0004:P6M-SEVERE_MITIGATED-P-0004</t>
  </si>
  <si>
    <t xml:space="preserve">P6M-SEVERE_MITIGATED-P-0005:P6M-SEVERE_MITIGATED-P-0005</t>
  </si>
  <si>
    <t xml:space="preserve">P6M-SEVERE_MITIGATED-P-0006:P6M-SEVERE_MITIGATED-P-0006</t>
  </si>
  <si>
    <t xml:space="preserve">P6M-SEVERE_MITIGATED-P-0007:P6M-SEVERE_MITIGATED-P-0007</t>
  </si>
  <si>
    <t xml:space="preserve">P6M-SEVERE_MITIGATED-P-0008:P6M-SEVERE_MITIGATED-P-0008</t>
  </si>
  <si>
    <t xml:space="preserve">P6M-SEVERE_MITIGATED-P-0009:P6M-SEVERE_MITIGATED-P-0009</t>
  </si>
  <si>
    <t xml:space="preserve">P6M-SEVERE_MITIGATED-P-0010:P6M-SEVERE_MITIGATED-P-0010</t>
  </si>
  <si>
    <t xml:space="preserve">P6M-SEVERE_MITIGATED-P-0011:P6M-SEVERE_MITIGATED-P-0011</t>
  </si>
  <si>
    <t xml:space="preserve">P6M-SEVERE_MITIGATED-P-0012:P6M-SEVERE_MITIGATED-P-0012</t>
  </si>
  <si>
    <t xml:space="preserve">P6M-SEVERE_MITIGATED-P-0013:P6M-SEVERE_MITIGATED-P-0013</t>
  </si>
  <si>
    <t xml:space="preserve">P6M-SEVERE_MITIGATED-P-0014:P6M-SEVERE_MITIGATED-P-0014</t>
  </si>
  <si>
    <t xml:space="preserve">P6M-SEVERE_MITIGATED-P-0015:P6M-SEVERE_MITIGATED-P-0015</t>
  </si>
  <si>
    <t xml:space="preserve">P6M-SEVERE_MITIGATED-P-0016:P6M-SEVERE_MITIGATED-P-0016</t>
  </si>
  <si>
    <t xml:space="preserve">P6M-SEVERE_MITIGATED-P-0017:P6M-SEVERE_MITIGATED-P-0017</t>
  </si>
  <si>
    <t xml:space="preserve">P6M-SEVERE_MITIGATED-P-0018:P6M-SEVERE_MITIGATED-P-0018</t>
  </si>
  <si>
    <t xml:space="preserve">P6M-SEVERE_MITIGATED-P-0019:P6M-SEVERE_MITIGATED-P-0019</t>
  </si>
  <si>
    <t xml:space="preserve">P6M-SEVERE_MITIGATED-P-0020:P6M-SEVERE_MITIGATED-P-0020</t>
  </si>
  <si>
    <t xml:space="preserve">P6M-SEVERE_MITIGATED-P-0021:P6M-SEVERE_MITIGATED-P-0021</t>
  </si>
  <si>
    <t xml:space="preserve">P6M-SEVERE_MITIGATED-P-0022:P6M-SEVERE_MITIGATED-P-0022</t>
  </si>
  <si>
    <t xml:space="preserve">P6M-SEVERE_MITIGATED-P-0023:P6M-SEVERE_MITIGATED-P-0023</t>
  </si>
  <si>
    <t xml:space="preserve">P6M-SEVERE_MITIGATED-P-0024:P6M-SEVERE_MITIGATED-P-0024</t>
  </si>
  <si>
    <t xml:space="preserve">P6M-SEVERE_MITIGATED-P-0025:P6M-SEVERE_MITIGATED-P-0027</t>
  </si>
  <si>
    <t xml:space="preserve">P6M-SEVERE_MITIGATED-P-0028:P6M-SEVERE_MITIGATED-P-0030</t>
  </si>
  <si>
    <t xml:space="preserve">P6M-SEVERE_MITIGATED-P-0031:P6M-SEVERE_MITIGATED-P-0033</t>
  </si>
  <si>
    <t xml:space="preserve">P6M-SEVERE_MITIGATED-P-0034:P6M-SEVERE_MITIGATED-P-0036</t>
  </si>
  <si>
    <t xml:space="preserve">P6M-SEVERE_MITIGATED-P-0037:P6M-SEVERE_MITIGATED-P-0039</t>
  </si>
  <si>
    <t xml:space="preserve">P6M-SEVERE_MITIGATED-P-0040:P6M-SEVERE_MITIGATED-P-0042</t>
  </si>
  <si>
    <t xml:space="preserve">P6M-SEVERE_MITIGATED-P-0043:P6M-SEVERE_MITIGATED-P-0045</t>
  </si>
  <si>
    <t xml:space="preserve">P6M-SEVERE_MITIGATED-P-0046:P6M-SEVERE_MITIGATED-P-0048</t>
  </si>
  <si>
    <t xml:space="preserve">P6M-SEVERE_MITIGATED-P-0049:P6M-SEVERE_MITIGATED-P-0051</t>
  </si>
  <si>
    <t xml:space="preserve">P6M-SEVERE_MITIGATED-P-0052:P6M-SEVERE_MITIGATED-P-0054</t>
  </si>
  <si>
    <t xml:space="preserve">P6M-SEVERE_MITIGATED-P-0055:P6M-SEVERE_MITIGATED-P-0057</t>
  </si>
  <si>
    <t xml:space="preserve">P6M-SEVERE_MITIGATED-P-0058:P6M-SEVERE_MITIGATED-P-0060</t>
  </si>
  <si>
    <t xml:space="preserve">P6M-MODERATE_NO_WAIVER-P-0001:P6M-MODERATE_NO_WAIVER-P-0001</t>
  </si>
  <si>
    <t xml:space="preserve">P6M-MODERATE_NO_WAIVER-P-0002:P6M-MODERATE_NO_WAIVER-P-0002</t>
  </si>
  <si>
    <t xml:space="preserve">P6M-MODERATE_NO_WAIVER-P-0003:P6M-MODERATE_NO_WAIVER-P-0003</t>
  </si>
  <si>
    <t xml:space="preserve">P6M-MODERATE_NO_WAIVER-P-0004:P6M-MODERATE_NO_WAIVER-P-0004</t>
  </si>
  <si>
    <t xml:space="preserve">P6M-MODERATE_NO_WAIVER-P-0005:P6M-MODERATE_NO_WAIVER-P-0005</t>
  </si>
  <si>
    <t xml:space="preserve">P6M-MODERATE_NO_WAIVER-P-0006:P6M-MODERATE_NO_WAIVER-P-0006</t>
  </si>
  <si>
    <t xml:space="preserve">P6M-MODERATE_NO_WAIVER-P-0007:P6M-MODERATE_NO_WAIVER-P-0007</t>
  </si>
  <si>
    <t xml:space="preserve">P6M-MODERATE_NO_WAIVER-P-0008:P6M-MODERATE_NO_WAIVER-P-0008</t>
  </si>
  <si>
    <t xml:space="preserve">P6M-MODERATE_NO_WAIVER-P-0009:P6M-MODERATE_NO_WAIVER-P-0009</t>
  </si>
  <si>
    <t xml:space="preserve">phase6_analytical_shutoff_active</t>
  </si>
  <si>
    <t xml:space="preserve">P6M-MODERATE_NO_WAIVER-P-0010:P6M-MODERATE_NO_WAIVER-P-0010</t>
  </si>
  <si>
    <t xml:space="preserve">P6M-MODERATE_NO_WAIVER-P-0011:P6M-MODERATE_NO_WAIVER-P-0011</t>
  </si>
  <si>
    <t xml:space="preserve">P6M-MODERATE_NO_WAIVER-P-0012:P6M-MODERATE_NO_WAIVER-P-0012</t>
  </si>
  <si>
    <t xml:space="preserve">P6M-MODERATE_NO_WAIVER-P-0013:P6M-MODERATE_NO_WAIVER-P-0013</t>
  </si>
  <si>
    <t xml:space="preserve">P6M-MODERATE_NO_WAIVER-P-0014:P6M-MODERATE_NO_WAIVER-P-0014</t>
  </si>
  <si>
    <t xml:space="preserve">P6M-MODERATE_NO_WAIVER-P-0015:P6M-MODERATE_NO_WAIVER-P-0015</t>
  </si>
  <si>
    <t xml:space="preserve">P6M-MODERATE_NO_WAIVER-P-0016:P6M-MODERATE_NO_WAIVER-P-0016</t>
  </si>
  <si>
    <t xml:space="preserve">P6M-MODERATE_NO_WAIVER-P-0017:P6M-MODERATE_NO_WAIVER-P-0017</t>
  </si>
  <si>
    <t xml:space="preserve">P6M-MODERATE_NO_WAIVER-P-0018:P6M-MODERATE_NO_WAIVER-P-0018</t>
  </si>
  <si>
    <t xml:space="preserve">P6M-MODERATE_NO_WAIVER-P-0019:P6M-MODERATE_NO_WAIVER-P-0019</t>
  </si>
  <si>
    <t xml:space="preserve">P6M-MODERATE_NO_WAIVER-P-0020:P6M-MODERATE_NO_WAIVER-P-0020</t>
  </si>
  <si>
    <t xml:space="preserve">P6M-MODERATE_NO_WAIVER-P-0021:P6M-MODERATE_NO_WAIVER-P-0021</t>
  </si>
  <si>
    <t xml:space="preserve">P6M-MODERATE_NO_WAIVER-P-0022:P6M-MODERATE_NO_WAIVER-P-0022</t>
  </si>
  <si>
    <t xml:space="preserve">P6M-MODERATE_NO_WAIVER-P-0023:P6M-MODERATE_NO_WAIVER-P-0023</t>
  </si>
  <si>
    <t xml:space="preserve">P6M-MODERATE_NO_WAIVER-P-0024:P6M-MODERATE_NO_WAIVER-P-0024</t>
  </si>
  <si>
    <t xml:space="preserve">P6M-MODERATE_NO_WAIVER-P-0025:P6M-MODERATE_NO_WAIVER-P-0027</t>
  </si>
  <si>
    <t xml:space="preserve">P6M-MODERATE_NO_WAIVER-P-0028:P6M-MODERATE_NO_WAIVER-P-0030</t>
  </si>
  <si>
    <t xml:space="preserve">P6M-MODERATE_NO_WAIVER-P-0031:P6M-MODERATE_NO_WAIVER-P-0033</t>
  </si>
  <si>
    <t xml:space="preserve">P6M-MODERATE_NO_WAIVER-P-0034:P6M-MODERATE_NO_WAIVER-P-0036</t>
  </si>
  <si>
    <t xml:space="preserve">P6M-MODERATE_NO_WAIVER-P-0037:P6M-MODERATE_NO_WAIVER-P-0039</t>
  </si>
  <si>
    <t xml:space="preserve">P6M-MODERATE_NO_WAIVER-P-0040:P6M-MODERATE_NO_WAIVER-P-0042</t>
  </si>
  <si>
    <t xml:space="preserve">P6M-MODERATE_NO_WAIVER-P-0043:P6M-MODERATE_NO_WAIVER-P-0045</t>
  </si>
  <si>
    <t xml:space="preserve">P6M-MODERATE_NO_WAIVER-P-0046:P6M-MODERATE_NO_WAIVER-P-0048</t>
  </si>
  <si>
    <t xml:space="preserve">P6M-MODERATE_NO_WAIVER-P-0049:P6M-MODERATE_NO_WAIVER-P-0051</t>
  </si>
  <si>
    <t xml:space="preserve">P6M-MODERATE_NO_WAIVER-P-0052:P6M-MODERATE_NO_WAIVER-P-0054</t>
  </si>
  <si>
    <t xml:space="preserve">P6M-MODERATE_NO_WAIVER-P-0055:P6M-MODERATE_NO_WAIVER-P-0057</t>
  </si>
  <si>
    <t xml:space="preserve">P6M-MODERATE_NO_WAIVER-P-0058:P6M-MODERATE_NO_WAIVER-P-0060</t>
  </si>
  <si>
    <t xml:space="preserve">P6M-SEVERE_NO_WAIVER-P-0001:P6M-SEVERE_NO_WAIVER-P-0001</t>
  </si>
  <si>
    <t xml:space="preserve">P6M-SEVERE_NO_WAIVER-P-0002:P6M-SEVERE_NO_WAIVER-P-0002</t>
  </si>
  <si>
    <t xml:space="preserve">P6M-SEVERE_NO_WAIVER-P-0003:P6M-SEVERE_NO_WAIVER-P-0003</t>
  </si>
  <si>
    <t xml:space="preserve">P6M-SEVERE_NO_WAIVER-P-0004:P6M-SEVERE_NO_WAIVER-P-0004</t>
  </si>
  <si>
    <t xml:space="preserve">P6M-SEVERE_NO_WAIVER-P-0005:P6M-SEVERE_NO_WAIVER-P-0005</t>
  </si>
  <si>
    <t xml:space="preserve">P6M-SEVERE_NO_WAIVER-P-0006:P6M-SEVERE_NO_WAIVER-P-0006</t>
  </si>
  <si>
    <t xml:space="preserve">P6M-SEVERE_NO_WAIVER-P-0007:P6M-SEVERE_NO_WAIVER-P-0007</t>
  </si>
  <si>
    <t xml:space="preserve">P6M-SEVERE_NO_WAIVER-P-0008:P6M-SEVERE_NO_WAIVER-P-0008</t>
  </si>
  <si>
    <t xml:space="preserve">P6M-SEVERE_NO_WAIVER-P-0009:P6M-SEVERE_NO_WAIVER-P-0009</t>
  </si>
  <si>
    <t xml:space="preserve">P6M-SEVERE_NO_WAIVER-P-0010:P6M-SEVERE_NO_WAIVER-P-0010</t>
  </si>
  <si>
    <t xml:space="preserve">P6M-SEVERE_NO_WAIVER-P-0011:P6M-SEVERE_NO_WAIVER-P-0011</t>
  </si>
  <si>
    <t xml:space="preserve">P6M-SEVERE_NO_WAIVER-P-0012:P6M-SEVERE_NO_WAIVER-P-0012</t>
  </si>
  <si>
    <t xml:space="preserve">P6M-SEVERE_NO_WAIVER-P-0013:P6M-SEVERE_NO_WAIVER-P-0013</t>
  </si>
  <si>
    <t xml:space="preserve">P6M-SEVERE_NO_WAIVER-P-0014:P6M-SEVERE_NO_WAIVER-P-0014</t>
  </si>
  <si>
    <t xml:space="preserve">P6M-SEVERE_NO_WAIVER-P-0015:P6M-SEVERE_NO_WAIVER-P-0015</t>
  </si>
  <si>
    <t xml:space="preserve">P6M-SEVERE_NO_WAIVER-P-0016:P6M-SEVERE_NO_WAIVER-P-0016</t>
  </si>
  <si>
    <t xml:space="preserve">P6M-SEVERE_NO_WAIVER-P-0017:P6M-SEVERE_NO_WAIVER-P-0017</t>
  </si>
  <si>
    <t xml:space="preserve">P6M-SEVERE_NO_WAIVER-P-0018:P6M-SEVERE_NO_WAIVER-P-0018</t>
  </si>
  <si>
    <t xml:space="preserve">P6M-SEVERE_NO_WAIVER-P-0019:P6M-SEVERE_NO_WAIVER-P-0019</t>
  </si>
  <si>
    <t xml:space="preserve">P6M-SEVERE_NO_WAIVER-P-0020:P6M-SEVERE_NO_WAIVER-P-0020</t>
  </si>
  <si>
    <t xml:space="preserve">P6M-SEVERE_NO_WAIVER-P-0021:P6M-SEVERE_NO_WAIVER-P-0021</t>
  </si>
  <si>
    <t xml:space="preserve">P6M-SEVERE_NO_WAIVER-P-0022:P6M-SEVERE_NO_WAIVER-P-0022</t>
  </si>
  <si>
    <t xml:space="preserve">P6M-SEVERE_NO_WAIVER-P-0023:P6M-SEVERE_NO_WAIVER-P-0023</t>
  </si>
  <si>
    <t xml:space="preserve">P6M-SEVERE_NO_WAIVER-P-0024:P6M-SEVERE_NO_WAIVER-P-0024</t>
  </si>
  <si>
    <t xml:space="preserve">P6M-SEVERE_NO_WAIVER-P-0025:P6M-SEVERE_NO_WAIVER-P-0027</t>
  </si>
  <si>
    <t xml:space="preserve">P6M-SEVERE_NO_WAIVER-P-0028:P6M-SEVERE_NO_WAIVER-P-0030</t>
  </si>
  <si>
    <t xml:space="preserve">P6M-SEVERE_NO_WAIVER-P-0031:P6M-SEVERE_NO_WAIVER-P-0033</t>
  </si>
  <si>
    <t xml:space="preserve">P6M-SEVERE_NO_WAIVER-P-0034:P6M-SEVERE_NO_WAIVER-P-0036</t>
  </si>
  <si>
    <t xml:space="preserve">P6M-SEVERE_NO_WAIVER-P-0037:P6M-SEVERE_NO_WAIVER-P-0039</t>
  </si>
  <si>
    <t xml:space="preserve">P6M-SEVERE_NO_WAIVER-P-0040:P6M-SEVERE_NO_WAIVER-P-0042</t>
  </si>
  <si>
    <t xml:space="preserve">P6M-SEVERE_NO_WAIVER-P-0043:P6M-SEVERE_NO_WAIVER-P-0045</t>
  </si>
  <si>
    <t xml:space="preserve">P6M-SEVERE_NO_WAIVER-P-0046:P6M-SEVERE_NO_WAIVER-P-0048</t>
  </si>
  <si>
    <t xml:space="preserve">P6M-SEVERE_NO_WAIVER-P-0049:P6M-SEVERE_NO_WAIVER-P-0051</t>
  </si>
  <si>
    <t xml:space="preserve">P6M-SEVERE_NO_WAIVER-P-0052:P6M-SEVERE_NO_WAIVER-P-0054</t>
  </si>
  <si>
    <t xml:space="preserve">P6M-SEVERE_NO_WAIVER-P-0055:P6M-SEVERE_NO_WAIVER-P-0057</t>
  </si>
  <si>
    <t xml:space="preserve">P6M-SEVERE_NO_WAIVER-P-0058:P6M-SEVERE_NO_WAIVER-P-0060</t>
  </si>
  <si>
    <t xml:space="preserve">P6M-MODERATE_PHASE7_COVENANT_NO_WAIVER-P-0001:P6M-MODERATE_PHASE7_COVENANT_NO_WAIVER-P-0001</t>
  </si>
  <si>
    <t xml:space="preserve">P6M-MODERATE_PHASE7_COVENANT_NO_WAIVER-P-0002:P6M-MODERATE_PHASE7_COVENANT_NO_WAIVER-P-0002</t>
  </si>
  <si>
    <t xml:space="preserve">P6M-MODERATE_PHASE7_COVENANT_NO_WAIVER-P-0003:P6M-MODERATE_PHASE7_COVENANT_NO_WAIVER-P-0003</t>
  </si>
  <si>
    <t xml:space="preserve">P6M-MODERATE_PHASE7_COVENANT_NO_WAIVER-P-0004:P6M-MODERATE_PHASE7_COVENANT_NO_WAIVER-P-0004</t>
  </si>
  <si>
    <t xml:space="preserve">P6M-MODERATE_PHASE7_COVENANT_NO_WAIVER-P-0005:P6M-MODERATE_PHASE7_COVENANT_NO_WAIVER-P-0005</t>
  </si>
  <si>
    <t xml:space="preserve">P6M-MODERATE_PHASE7_COVENANT_NO_WAIVER-P-0006:P6M-MODERATE_PHASE7_COVENANT_NO_WAIVER-P-0006</t>
  </si>
  <si>
    <t xml:space="preserve">P6M-MODERATE_PHASE7_COVENANT_NO_WAIVER-P-0007:P6M-MODERATE_PHASE7_COVENANT_NO_WAIVER-P-0007</t>
  </si>
  <si>
    <t xml:space="preserve">P6M-MODERATE_PHASE7_COVENANT_NO_WAIVER-P-0008:P6M-MODERATE_PHASE7_COVENANT_NO_WAIVER-P-0008</t>
  </si>
  <si>
    <t xml:space="preserve">P6M-MODERATE_PHASE7_COVENANT_NO_WAIVER-P-0009:P6M-MODERATE_PHASE7_COVENANT_NO_WAIVER-P-0009</t>
  </si>
  <si>
    <t xml:space="preserve">phase7_covenant_linked_shutoff_active</t>
  </si>
  <si>
    <t xml:space="preserve">P6M-MODERATE_PHASE7_COVENANT_NO_WAIVER-P-0010:P6M-MODERATE_PHASE7_COVENANT_NO_WAIVER-P-0010</t>
  </si>
  <si>
    <t xml:space="preserve">P6M-MODERATE_PHASE7_COVENANT_NO_WAIVER-P-0011:P6M-MODERATE_PHASE7_COVENANT_NO_WAIVER-P-0011</t>
  </si>
  <si>
    <t xml:space="preserve">P6M-MODERATE_PHASE7_COVENANT_NO_WAIVER-P-0012:P6M-MODERATE_PHASE7_COVENANT_NO_WAIVER-P-0012</t>
  </si>
  <si>
    <t xml:space="preserve">P6M-MODERATE_PHASE7_COVENANT_NO_WAIVER-P-0013:P6M-MODERATE_PHASE7_COVENANT_NO_WAIVER-P-0013</t>
  </si>
  <si>
    <t xml:space="preserve">P6M-MODERATE_PHASE7_COVENANT_NO_WAIVER-P-0014:P6M-MODERATE_PHASE7_COVENANT_NO_WAIVER-P-0014</t>
  </si>
  <si>
    <t xml:space="preserve">P6M-MODERATE_PHASE7_COVENANT_NO_WAIVER-P-0015:P6M-MODERATE_PHASE7_COVENANT_NO_WAIVER-P-0015</t>
  </si>
  <si>
    <t xml:space="preserve">P6M-MODERATE_PHASE7_COVENANT_NO_WAIVER-P-0016:P6M-MODERATE_PHASE7_COVENANT_NO_WAIVER-P-0016</t>
  </si>
  <si>
    <t xml:space="preserve">P6M-MODERATE_PHASE7_COVENANT_NO_WAIVER-P-0017:P6M-MODERATE_PHASE7_COVENANT_NO_WAIVER-P-0017</t>
  </si>
  <si>
    <t xml:space="preserve">P6M-MODERATE_PHASE7_COVENANT_NO_WAIVER-P-0018:P6M-MODERATE_PHASE7_COVENANT_NO_WAIVER-P-0018</t>
  </si>
  <si>
    <t xml:space="preserve">P6M-MODERATE_PHASE7_COVENANT_NO_WAIVER-P-0019:P6M-MODERATE_PHASE7_COVENANT_NO_WAIVER-P-0019</t>
  </si>
  <si>
    <t xml:space="preserve">P6M-MODERATE_PHASE7_COVENANT_NO_WAIVER-P-0020:P6M-MODERATE_PHASE7_COVENANT_NO_WAIVER-P-0020</t>
  </si>
  <si>
    <t xml:space="preserve">P6M-MODERATE_PHASE7_COVENANT_NO_WAIVER-P-0021:P6M-MODERATE_PHASE7_COVENANT_NO_WAIVER-P-0021</t>
  </si>
  <si>
    <t xml:space="preserve">P6M-MODERATE_PHASE7_COVENANT_NO_WAIVER-P-0022:P6M-MODERATE_PHASE7_COVENANT_NO_WAIVER-P-0022</t>
  </si>
  <si>
    <t xml:space="preserve">P6M-MODERATE_PHASE7_COVENANT_NO_WAIVER-P-0023:P6M-MODERATE_PHASE7_COVENANT_NO_WAIVER-P-0023</t>
  </si>
  <si>
    <t xml:space="preserve">P6M-MODERATE_PHASE7_COVENANT_NO_WAIVER-P-0024:P6M-MODERATE_PHASE7_COVENANT_NO_WAIVER-P-0024</t>
  </si>
  <si>
    <t xml:space="preserve">P6M-MODERATE_PHASE7_COVENANT_NO_WAIVER-P-0025:P6M-MODERATE_PHASE7_COVENANT_NO_WAIVER-P-0027</t>
  </si>
  <si>
    <t xml:space="preserve">P6M-MODERATE_PHASE7_COVENANT_NO_WAIVER-P-0028:P6M-MODERATE_PHASE7_COVENANT_NO_WAIVER-P-0030</t>
  </si>
  <si>
    <t xml:space="preserve">P6M-MODERATE_PHASE7_COVENANT_NO_WAIVER-P-0031:P6M-MODERATE_PHASE7_COVENANT_NO_WAIVER-P-0033</t>
  </si>
  <si>
    <t xml:space="preserve">P6M-MODERATE_PHASE7_COVENANT_NO_WAIVER-P-0034:P6M-MODERATE_PHASE7_COVENANT_NO_WAIVER-P-0036</t>
  </si>
  <si>
    <t xml:space="preserve">P6M-MODERATE_PHASE7_COVENANT_NO_WAIVER-P-0037:P6M-MODERATE_PHASE7_COVENANT_NO_WAIVER-P-0039</t>
  </si>
  <si>
    <t xml:space="preserve">P6M-MODERATE_PHASE7_COVENANT_NO_WAIVER-P-0040:P6M-MODERATE_PHASE7_COVENANT_NO_WAIVER-P-0042</t>
  </si>
  <si>
    <t xml:space="preserve">P6M-MODERATE_PHASE7_COVENANT_NO_WAIVER-P-0043:P6M-MODERATE_PHASE7_COVENANT_NO_WAIVER-P-0045</t>
  </si>
  <si>
    <t xml:space="preserve">P6M-MODERATE_PHASE7_COVENANT_NO_WAIVER-P-0046:P6M-MODERATE_PHASE7_COVENANT_NO_WAIVER-P-0048</t>
  </si>
  <si>
    <t xml:space="preserve">P6M-MODERATE_PHASE7_COVENANT_NO_WAIVER-P-0049:P6M-MODERATE_PHASE7_COVENANT_NO_WAIVER-P-0051</t>
  </si>
  <si>
    <t xml:space="preserve">P6M-MODERATE_PHASE7_COVENANT_NO_WAIVER-P-0052:P6M-MODERATE_PHASE7_COVENANT_NO_WAIVER-P-0054</t>
  </si>
  <si>
    <t xml:space="preserve">P6M-MODERATE_PHASE7_COVENANT_NO_WAIVER-P-0055:P6M-MODERATE_PHASE7_COVENANT_NO_WAIVER-P-0057</t>
  </si>
  <si>
    <t xml:space="preserve">P6M-MODERATE_PHASE7_COVENANT_NO_WAIVER-P-0058:P6M-MODERATE_PHASE7_COVENANT_NO_WAIVER-P-0060</t>
  </si>
  <si>
    <t xml:space="preserve">P6M-SEVERE_PHASE7_COVENANT_NO_WAIVER-P-0001:P6M-SEVERE_PHASE7_COVENANT_NO_WAIVER-P-0001</t>
  </si>
  <si>
    <t xml:space="preserve">P6M-SEVERE_PHASE7_COVENANT_NO_WAIVER-P-0002:P6M-SEVERE_PHASE7_COVENANT_NO_WAIVER-P-0002</t>
  </si>
  <si>
    <t xml:space="preserve">P6M-SEVERE_PHASE7_COVENANT_NO_WAIVER-P-0003:P6M-SEVERE_PHASE7_COVENANT_NO_WAIVER-P-0003</t>
  </si>
  <si>
    <t xml:space="preserve">P6M-SEVERE_PHASE7_COVENANT_NO_WAIVER-P-0004:P6M-SEVERE_PHASE7_COVENANT_NO_WAIVER-P-0004</t>
  </si>
  <si>
    <t xml:space="preserve">P6M-SEVERE_PHASE7_COVENANT_NO_WAIVER-P-0005:P6M-SEVERE_PHASE7_COVENANT_NO_WAIVER-P-0005</t>
  </si>
  <si>
    <t xml:space="preserve">P6M-SEVERE_PHASE7_COVENANT_NO_WAIVER-P-0006:P6M-SEVERE_PHASE7_COVENANT_NO_WAIVER-P-0006</t>
  </si>
  <si>
    <t xml:space="preserve">P6M-SEVERE_PHASE7_COVENANT_NO_WAIVER-P-0007:P6M-SEVERE_PHASE7_COVENANT_NO_WAIVER-P-0007</t>
  </si>
  <si>
    <t xml:space="preserve">P6M-SEVERE_PHASE7_COVENANT_NO_WAIVER-P-0008:P6M-SEVERE_PHASE7_COVENANT_NO_WAIVER-P-0008</t>
  </si>
  <si>
    <t xml:space="preserve">P6M-SEVERE_PHASE7_COVENANT_NO_WAIVER-P-0009:P6M-SEVERE_PHASE7_COVENANT_NO_WAIVER-P-0009</t>
  </si>
  <si>
    <t xml:space="preserve">P6M-SEVERE_PHASE7_COVENANT_NO_WAIVER-P-0010:P6M-SEVERE_PHASE7_COVENANT_NO_WAIVER-P-0010</t>
  </si>
  <si>
    <t xml:space="preserve">P6M-SEVERE_PHASE7_COVENANT_NO_WAIVER-P-0011:P6M-SEVERE_PHASE7_COVENANT_NO_WAIVER-P-0011</t>
  </si>
  <si>
    <t xml:space="preserve">P6M-SEVERE_PHASE7_COVENANT_NO_WAIVER-P-0012:P6M-SEVERE_PHASE7_COVENANT_NO_WAIVER-P-0012</t>
  </si>
  <si>
    <t xml:space="preserve">P6M-SEVERE_PHASE7_COVENANT_NO_WAIVER-P-0013:P6M-SEVERE_PHASE7_COVENANT_NO_WAIVER-P-0013</t>
  </si>
  <si>
    <t xml:space="preserve">P6M-SEVERE_PHASE7_COVENANT_NO_WAIVER-P-0014:P6M-SEVERE_PHASE7_COVENANT_NO_WAIVER-P-0014</t>
  </si>
  <si>
    <t xml:space="preserve">P6M-SEVERE_PHASE7_COVENANT_NO_WAIVER-P-0015:P6M-SEVERE_PHASE7_COVENANT_NO_WAIVER-P-0015</t>
  </si>
  <si>
    <t xml:space="preserve">P6M-SEVERE_PHASE7_COVENANT_NO_WAIVER-P-0016:P6M-SEVERE_PHASE7_COVENANT_NO_WAIVER-P-0016</t>
  </si>
  <si>
    <t xml:space="preserve">P6M-SEVERE_PHASE7_COVENANT_NO_WAIVER-P-0017:P6M-SEVERE_PHASE7_COVENANT_NO_WAIVER-P-0017</t>
  </si>
  <si>
    <t xml:space="preserve">P6M-SEVERE_PHASE7_COVENANT_NO_WAIVER-P-0018:P6M-SEVERE_PHASE7_COVENANT_NO_WAIVER-P-0018</t>
  </si>
  <si>
    <t xml:space="preserve">P6M-SEVERE_PHASE7_COVENANT_NO_WAIVER-P-0019:P6M-SEVERE_PHASE7_COVENANT_NO_WAIVER-P-0019</t>
  </si>
  <si>
    <t xml:space="preserve">P6M-SEVERE_PHASE7_COVENANT_NO_WAIVER-P-0020:P6M-SEVERE_PHASE7_COVENANT_NO_WAIVER-P-0020</t>
  </si>
  <si>
    <t xml:space="preserve">P6M-SEVERE_PHASE7_COVENANT_NO_WAIVER-P-0021:P6M-SEVERE_PHASE7_COVENANT_NO_WAIVER-P-0021</t>
  </si>
  <si>
    <t xml:space="preserve">P6M-SEVERE_PHASE7_COVENANT_NO_WAIVER-P-0022:P6M-SEVERE_PHASE7_COVENANT_NO_WAIVER-P-0022</t>
  </si>
  <si>
    <t xml:space="preserve">P6M-SEVERE_PHASE7_COVENANT_NO_WAIVER-P-0023:P6M-SEVERE_PHASE7_COVENANT_NO_WAIVER-P-0023</t>
  </si>
  <si>
    <t xml:space="preserve">P6M-SEVERE_PHASE7_COVENANT_NO_WAIVER-P-0024:P6M-SEVERE_PHASE7_COVENANT_NO_WAIVER-P-0024</t>
  </si>
  <si>
    <t xml:space="preserve">P6M-SEVERE_PHASE7_COVENANT_NO_WAIVER-P-0025:P6M-SEVERE_PHASE7_COVENANT_NO_WAIVER-P-0027</t>
  </si>
  <si>
    <t xml:space="preserve">P6M-SEVERE_PHASE7_COVENANT_NO_WAIVER-P-0028:P6M-SEVERE_PHASE7_COVENANT_NO_WAIVER-P-0030</t>
  </si>
  <si>
    <t xml:space="preserve">P6M-SEVERE_PHASE7_COVENANT_NO_WAIVER-P-0031:P6M-SEVERE_PHASE7_COVENANT_NO_WAIVER-P-0033</t>
  </si>
  <si>
    <t xml:space="preserve">P6M-SEVERE_PHASE7_COVENANT_NO_WAIVER-P-0034:P6M-SEVERE_PHASE7_COVENANT_NO_WAIVER-P-0036</t>
  </si>
  <si>
    <t xml:space="preserve">P6M-SEVERE_PHASE7_COVENANT_NO_WAIVER-P-0037:P6M-SEVERE_PHASE7_COVENANT_NO_WAIVER-P-0039</t>
  </si>
  <si>
    <t xml:space="preserve">P6M-SEVERE_PHASE7_COVENANT_NO_WAIVER-P-0040:P6M-SEVERE_PHASE7_COVENANT_NO_WAIVER-P-0042</t>
  </si>
  <si>
    <t xml:space="preserve">P6M-SEVERE_PHASE7_COVENANT_NO_WAIVER-P-0043:P6M-SEVERE_PHASE7_COVENANT_NO_WAIVER-P-0045</t>
  </si>
  <si>
    <t xml:space="preserve">P6M-SEVERE_PHASE7_COVENANT_NO_WAIVER-P-0046:P6M-SEVERE_PHASE7_COVENANT_NO_WAIVER-P-0048</t>
  </si>
  <si>
    <t xml:space="preserve">P6M-SEVERE_PHASE7_COVENANT_NO_WAIVER-P-0049:P6M-SEVERE_PHASE7_COVENANT_NO_WAIVER-P-0051</t>
  </si>
  <si>
    <t xml:space="preserve">P6M-SEVERE_PHASE7_COVENANT_NO_WAIVER-P-0052:P6M-SEVERE_PHASE7_COVENANT_NO_WAIVER-P-0054</t>
  </si>
  <si>
    <t xml:space="preserve">P6M-SEVERE_PHASE7_COVENANT_NO_WAIVER-P-0055:P6M-SEVERE_PHASE7_COVENANT_NO_WAIVER-P-0057</t>
  </si>
  <si>
    <t xml:space="preserve">P6M-SEVERE_PHASE7_COVENANT_NO_WAIVER-P-0058:P6M-SEVERE_PHASE7_COVENANT_NO_WAIVER-P-0060</t>
  </si>
  <si>
    <t xml:space="preserve">Live scenario and captured comparisons</t>
  </si>
  <si>
    <t xml:space="preserve">View</t>
  </si>
  <si>
    <t xml:space="preserve">FY2026 post-close EBITDA</t>
  </si>
  <si>
    <t xml:space="preserve">EBITDA margin</t>
  </si>
  <si>
    <t xml:space="preserve">CFADS</t>
  </si>
  <si>
    <t xml:space="preserve">Scheduled principal</t>
  </si>
  <si>
    <t xml:space="preserve">Peak revolver</t>
  </si>
  <si>
    <t xml:space="preserve">Opening liquidity</t>
  </si>
  <si>
    <t xml:space="preserve">Subsequent minimum</t>
  </si>
  <si>
    <t xml:space="preserve">All-in minimum</t>
  </si>
  <si>
    <t xml:space="preserve">Maximum leverage</t>
  </si>
  <si>
    <t xml:space="preserve">Minimum coverage</t>
  </si>
  <si>
    <t xml:space="preserve">First breach</t>
  </si>
  <si>
    <t xml:space="preserve">First payment failure</t>
  </si>
  <si>
    <t xml:space="preserve">Common-horizon ending debt</t>
  </si>
  <si>
    <t xml:space="preserve">Unpaid obligations</t>
  </si>
  <si>
    <t xml:space="preserve">Current selected-case results</t>
  </si>
  <si>
    <t xml:space="preserve">Captured comparisons are recalculated snapshots, not parallel live engines. Change in any modeled input makes the stale flag visible until the capture workflow is rerun.</t>
  </si>
  <si>
    <t xml:space="preserve">Scenario</t>
  </si>
  <si>
    <t xml:space="preserve">Captured at</t>
  </si>
  <si>
    <t xml:space="preserve">Input version</t>
  </si>
  <si>
    <t xml:space="preserve">Source hash</t>
  </si>
  <si>
    <t xml:space="preserve">Captured signature</t>
  </si>
  <si>
    <t xml:space="preserve">Current signature</t>
  </si>
  <si>
    <t xml:space="preserve">Stale status</t>
  </si>
  <si>
    <t xml:space="preserve">2026-09-11T17:39:57Z</t>
  </si>
  <si>
    <t xml:space="preserve">Quanex reported historical spread</t>
  </si>
  <si>
    <t xml:space="preserve">FY2021-FY2023 pre-Tyman; FY2024 includes approximately three months of Tyman; FY2025 is the first full post-Tyman year.</t>
  </si>
  <si>
    <t xml:space="preserve">Metric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</si>
  <si>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</si>
  <si>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</si>
  <si>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</si>
  <si>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</si>
  <si>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</si>
  <si>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Source IDs</t>
  </si>
  <si>
    <t xml:space="preserve">Income statement</t>
  </si>
  <si>
    <t xml:space="preserve">Revenue</t>
  </si>
  <si>
    <t xml:space="preserve">USD_millions</t>
  </si>
  <si>
    <t xml:space="preserve">SRC-014;SRC-001</t>
  </si>
  <si>
    <t xml:space="preserve">supported</t>
  </si>
  <si>
    <t xml:space="preserve">Cost of sales before D&amp;A</t>
  </si>
  <si>
    <t xml:space="preserve">Gross profit</t>
  </si>
  <si>
    <t xml:space="preserve">SG&amp;A</t>
  </si>
  <si>
    <t xml:space="preserve">D&amp;A</t>
  </si>
  <si>
    <t xml:space="preserve">Goodwill impairment</t>
  </si>
  <si>
    <t xml:space="preserve">SRC-001</t>
  </si>
  <si>
    <t xml:space="preserve">Operating income</t>
  </si>
  <si>
    <t xml:space="preserve">Interest expense</t>
  </si>
  <si>
    <t xml:space="preserve">Pretax income</t>
  </si>
  <si>
    <t xml:space="preserve">Income-tax expense</t>
  </si>
  <si>
    <t xml:space="preserve">Net income</t>
  </si>
  <si>
    <t xml:space="preserve">Cash flow</t>
  </si>
  <si>
    <t xml:space="preserve">Cash flow from operations</t>
  </si>
  <si>
    <t xml:space="preserve">Capital expenditures</t>
  </si>
  <si>
    <t xml:space="preserve">Free cash flow</t>
  </si>
  <si>
    <t xml:space="preserve">Acquisition cash flows</t>
  </si>
  <si>
    <t xml:space="preserve">Dividends paid</t>
  </si>
  <si>
    <t xml:space="preserve">Share repurchases</t>
  </si>
  <si>
    <t xml:space="preserve">Balance sheet</t>
  </si>
  <si>
    <t xml:space="preserve">Cash and cash equivalents</t>
  </si>
  <si>
    <t xml:space="preserve">SRC-014;SRC-012;SRC-001</t>
  </si>
  <si>
    <t xml:space="preserve">Accounts receivable</t>
  </si>
  <si>
    <t xml:space="preserve">Inventory</t>
  </si>
  <si>
    <t xml:space="preserve">Accounts payable</t>
  </si>
  <si>
    <t xml:space="preserve">Current assets</t>
  </si>
  <si>
    <t xml:space="preserve">Current liabilities</t>
  </si>
  <si>
    <t xml:space="preserve">Total assets</t>
  </si>
  <si>
    <t xml:space="preserve">Total liabilities</t>
  </si>
  <si>
    <t xml:space="preserve">Shareholders' equity</t>
  </si>
  <si>
    <t xml:space="preserve">Goodwill</t>
  </si>
  <si>
    <t xml:space="preserve">Intangible assets</t>
  </si>
  <si>
    <t xml:space="preserve">Debt</t>
  </si>
  <si>
    <t xml:space="preserve">Term-loan principal</t>
  </si>
  <si>
    <t xml:space="preserve">SRC-014;SRC-012;SRC-002</t>
  </si>
  <si>
    <t xml:space="preserve">Revolver borrowings</t>
  </si>
  <si>
    <t xml:space="preserve">Total debt principal</t>
  </si>
  <si>
    <t xml:space="preserve">Total debt carrying amount</t>
  </si>
  <si>
    <t xml:space="preserve">Finance lease obligations</t>
  </si>
  <si>
    <t xml:space="preserve">Selected historical credit metrics</t>
  </si>
  <si>
    <t xml:space="preserve">Limitation</t>
  </si>
  <si>
    <t xml:space="preserve">gross margin</t>
  </si>
  <si>
    <t xml:space="preserve">calculated</t>
  </si>
  <si>
    <t xml:space="preserve">operating margin</t>
  </si>
  <si>
    <t xml:space="preserve">unadjusted ebitda margin</t>
  </si>
  <si>
    <t xml:space="preserve">cash flow from operations</t>
  </si>
  <si>
    <t xml:space="preserve">reported</t>
  </si>
  <si>
    <t xml:space="preserve">free cash flow</t>
  </si>
  <si>
    <t xml:space="preserve">Cash interest is already included in CFO and is not subtracted again.</t>
  </si>
  <si>
    <t xml:space="preserve">gross funded debt to provisional lender normalized ebitda</t>
  </si>
  <si>
    <t xml:space="preserve">current ratio</t>
  </si>
  <si>
    <t xml:space="preserve">days sales outstanding</t>
  </si>
  <si>
    <t xml:space="preserve">FY2024-FY2025 averages are acquisition-distorted.</t>
  </si>
  <si>
    <t xml:space="preserve">days inventory outstanding</t>
  </si>
  <si>
    <t xml:space="preserve">Cost of sales, not revenue, is used; FY2024-FY2025 averages are acquisition-distorted.</t>
  </si>
  <si>
    <t xml:space="preserve">CFO</t>
  </si>
  <si>
    <t xml:space="preserve">FCF</t>
  </si>
  <si>
    <t xml:space="preserve">Earnings definitions and lender adjustments</t>
  </si>
  <si>
    <t xml:space="preserve">Earnings layer</t>
  </si>
  <si>
    <t xml:space="preserve">Unadjusted EBITDA</t>
  </si>
  <si>
    <t xml:space="preserve">Company-adjusted EBITDA</t>
  </si>
  <si>
    <t xml:space="preserve">GAAP operating income</t>
  </si>
  <si>
    <t xml:space="preserve">Partial contractual</t>
  </si>
  <si>
    <t xml:space="preserve">Add: D&amp;A</t>
  </si>
  <si>
    <t xml:space="preserve">Lender-base EBITDA</t>
  </si>
  <si>
    <t xml:space="preserve">Company adjustments</t>
  </si>
  <si>
    <t xml:space="preserve">Partial contractual reconstruction</t>
  </si>
  <si>
    <t xml:space="preserve">Owner-reviewed lender adjustments</t>
  </si>
  <si>
    <t xml:space="preserve">Owner-reviewed lender-base EBITDA</t>
  </si>
  <si>
    <t xml:space="preserve">Unofficial contractual reconstruction; AC-011 cash outflow retained; goodwill impairment remains a major adverse risk signal.</t>
  </si>
  <si>
    <t xml:space="preserve">Adjustment ID</t>
  </si>
  <si>
    <t xml:space="preserve">Period</t>
  </si>
  <si>
    <t xml:space="preserve">Description</t>
  </si>
  <si>
    <t xml:space="preserve">Reported</t>
  </si>
  <si>
    <t xml:space="preserve">Low</t>
  </si>
  <si>
    <t xml:space="preserve">High/company</t>
  </si>
  <si>
    <t xml:space="preserve">Cash status</t>
  </si>
  <si>
    <t xml:space="preserve">Recurrence</t>
  </si>
  <si>
    <t xml:space="preserve">Contractual status</t>
  </si>
  <si>
    <t xml:space="preserve">Owner review</t>
  </si>
  <si>
    <t xml:space="preserve">Lender rationale</t>
  </si>
  <si>
    <t xml:space="preserve">Source ID</t>
  </si>
  <si>
    <t xml:space="preserve">Double count check</t>
  </si>
  <si>
    <t xml:space="preserve">AC-001</t>
  </si>
  <si>
    <t xml:space="preserve">noncash</t>
  </si>
  <si>
    <t xml:space="preserve">nonrecurring_charge_but_material_business_risk_signal</t>
  </si>
  <si>
    <t xml:space="preserve">likely_permitted_nonrecurring_noncash_or_intangible_write_down</t>
  </si>
  <si>
    <t xml:space="preserve">owner_reviewed</t>
  </si>
  <si>
    <t xml:space="preserve">Full mathematical reversal is appropriate because the charge is noncash; retain the impairment as a major asset-quality and forecasting warning.</t>
  </si>
  <si>
    <t xml:space="preserve">SRC-002</t>
  </si>
  <si>
    <t xml:space="preserve">Official compliance certificate and lender calculation are unavailable.</t>
  </si>
  <si>
    <t xml:space="preserve">Matches the FY2025 GAAP impairment and CFO noncash addback; do not add either again.</t>
  </si>
  <si>
    <t xml:space="preserve">AC-002</t>
  </si>
  <si>
    <t xml:space="preserve">Plant relocation cost recorded in cost of sales</t>
  </si>
  <si>
    <t xml:space="preserve">cash_status_not_disclosed</t>
  </si>
  <si>
    <t xml:space="preserve">temporary_but_execution_cost_may_recur_during_stabilization</t>
  </si>
  <si>
    <t xml:space="preserve">not_clearly_permitted_from_public_record</t>
  </si>
  <si>
    <t xml:space="preserve">Owner-reviewed base acceptance is zero because the disclosure does not establish cash character, completion, or nonrecurrence; the full amount remains only in the company/high sensitivity.</t>
  </si>
  <si>
    <t xml:space="preserve">Invoice detail, cash timing, completion evidence, and contractual classification.</t>
  </si>
  <si>
    <t xml:space="preserve">Paired with AC-003; neither may also be included through a broader restructuring line.</t>
  </si>
  <si>
    <t xml:space="preserve">AC-003</t>
  </si>
  <si>
    <t xml:space="preserve">Plant relocation cost recorded in SG&amp;A</t>
  </si>
  <si>
    <t xml:space="preserve">Paired with AC-002; neither may also be included through a broader restructuring line.</t>
  </si>
  <si>
    <t xml:space="preserve">AC-004</t>
  </si>
  <si>
    <t xml:space="preserve">Inventory purchase-accounting step-up</t>
  </si>
  <si>
    <t xml:space="preserve">noncash_purchase_accounting_expense</t>
  </si>
  <si>
    <t xml:space="preserve">nonrecurring_for_acquired_inventory</t>
  </si>
  <si>
    <t xml:space="preserve">likely_permitted_nonrecurring_noncash_acquisition_accounting_subject_to_certificate</t>
  </si>
  <si>
    <t xml:space="preserve">The fair-value step-up is a finite acquisition-accounting charge rather than recurring operating cost; full acceptance does not erase acquisition risk.</t>
  </si>
  <si>
    <t xml:space="preserve">Official contractual classification and compliance certificate.</t>
  </si>
  <si>
    <t xml:space="preserve">Do not also add this amount through a pro forma purchase-accounting adjustment.</t>
  </si>
  <si>
    <t xml:space="preserve">AC-005</t>
  </si>
  <si>
    <t xml:space="preserve">Transaction, advisory, reorganization, and product-recall composite</t>
  </si>
  <si>
    <t xml:space="preserve">mixed_or_not_disclosed</t>
  </si>
  <si>
    <t xml:space="preserve">mixed_category_includes_potentially_recurring_operational_cost</t>
  </si>
  <si>
    <t xml:space="preserve">mixed_and_not_determinable_from_public_record</t>
  </si>
  <si>
    <t xml:space="preserve">Base acceptance is zero because transaction, reorganization, and recall costs are inseparable; the full company amount is retained only as an upper case pending evidence.</t>
  </si>
  <si>
    <t xml:space="preserve">Component amounts, invoices, cash/noncash split, dates, recall scope, and recurrence evidence.</t>
  </si>
  <si>
    <t xml:space="preserve">Potential overlap with acquisition costs, restructuring, and operating remediation; no other bridge may absorb it.</t>
  </si>
  <si>
    <t xml:space="preserve">AC-006</t>
  </si>
  <si>
    <t xml:space="preserve">Restructuring, severance, and software</t>
  </si>
  <si>
    <t xml:space="preserve">mixed_4.561_noncash_remainder_not_established_noncash</t>
  </si>
  <si>
    <t xml:space="preserve">partly_nonrecurring_with_cash_execution_risk</t>
  </si>
  <si>
    <t xml:space="preserve">only_identified_one_time_noncash_restructuring_component_clearly_permitted</t>
  </si>
  <si>
    <t xml:space="preserve">Accept only the $4.561 million noncash restructuring amount reconciled in the cash-flow statement; defer the remaining $5.630 million.</t>
  </si>
  <si>
    <t xml:space="preserve">Cash payments, project completion, software write-off detail, and official covenant treatment.</t>
  </si>
  <si>
    <t xml:space="preserve">The $4.561 million CFO addback is evidence of noncash character, not a second EBITDA adjustment.</t>
  </si>
  <si>
    <t xml:space="preserve">AC-007</t>
  </si>
  <si>
    <t xml:space="preserve">Tyman post-measurement-period deferred-tax correction</t>
  </si>
  <si>
    <t xml:space="preserve">noncash_deferred_tax_accounting</t>
  </si>
  <si>
    <t xml:space="preserve">nonrecurring_tax_measurement_correction</t>
  </si>
  <si>
    <t xml:space="preserve">tax_is_already_excluded_in_ebitda</t>
  </si>
  <si>
    <t xml:space="preserve">The $9 million charge matters to adjusted net income and tax quality but cannot be added again to EBITDA because income taxes are already excluded.</t>
  </si>
  <si>
    <t xml:space="preserve">Cash-tax implications, if any, remain unavailable.</t>
  </si>
  <si>
    <t xml:space="preserve">Adding it to EBITDA would double count the standard tax addback.</t>
  </si>
  <si>
    <t xml:space="preserve">AC-008</t>
  </si>
  <si>
    <t xml:space="preserve">Plant closure cost recorded in cost of sales</t>
  </si>
  <si>
    <t xml:space="preserve">closure_related_but_recurrence_and_cash_timing_not_proven</t>
  </si>
  <si>
    <t xml:space="preserve">Owner-reviewed base acceptance is zero because closure specificity alone does not prove cash character, completion, or nonrecurrence; the full amount remains only in the company/high sensitivity.</t>
  </si>
  <si>
    <t xml:space="preserve">Cash/noncash split, closure completion, and contractual classification.</t>
  </si>
  <si>
    <t xml:space="preserve">Must not overlap with other restructuring or disposition adjustments.</t>
  </si>
  <si>
    <t xml:space="preserve">AC-009</t>
  </si>
  <si>
    <t xml:space="preserve">Plant closure gain recorded in SG&amp;A</t>
  </si>
  <si>
    <t xml:space="preserve">noncash_gain_component_with_separate_sale_proceeds</t>
  </si>
  <si>
    <t xml:space="preserve">nonrecurring_gain</t>
  </si>
  <si>
    <t xml:space="preserve">likely_required_deduction_for_unusual_or_disposition_gain</t>
  </si>
  <si>
    <t xml:space="preserve">Deduct the gain in full, consistent with both the company bridge and lender conservatism; excluding losses while retaining gains would be asymmetric.</t>
  </si>
  <si>
    <t xml:space="preserve">Official compliance presentation is unavailable.</t>
  </si>
  <si>
    <t xml:space="preserve">Do not also deduct the related disposition gain through another contractual line.</t>
  </si>
  <si>
    <t xml:space="preserve">AC-010</t>
  </si>
  <si>
    <t xml:space="preserve">Inventory and receivables purchase-accounting step-up</t>
  </si>
  <si>
    <t xml:space="preserve">nonrecurring_for_acquired_balances</t>
  </si>
  <si>
    <t xml:space="preserve">likely_permitted_acquisition_accounting_or_pro_forma_item_subject_to_certificate</t>
  </si>
  <si>
    <t xml:space="preserve">Owner-reviewed full acceptance reflects a finite acquisition-accounting effect; collectability, cash-realization, integration, and pro forma limitations remain separate from the earnings normalization.</t>
  </si>
  <si>
    <t xml:space="preserve">Official contractual bridge, precise inventory/receivable split, and evidence on collectability and cash realization.</t>
  </si>
  <si>
    <t xml:space="preserve">Do not also include it in a separate acquisition pro forma or working-capital adjustment.</t>
  </si>
  <si>
    <t xml:space="preserve">AC-011</t>
  </si>
  <si>
    <t xml:space="preserve">Tyman transaction and advisory fees</t>
  </si>
  <si>
    <t xml:space="preserve">cash</t>
  </si>
  <si>
    <t xml:space="preserve">nonrecurring_completed_acquisition_cost</t>
  </si>
  <si>
    <t xml:space="preserve">not_determinable_without_out_of_pocket_support_incurrence_dates_and_compliance_certificate</t>
  </si>
  <si>
    <t xml:space="preserve">Owner-reviewed lender earnings normalization accepts the completed-transaction cost, but contractual eligibility remains unresolved and historical cash conversion continues to reflect the cash use.</t>
  </si>
  <si>
    <t xml:space="preserve">Invoices, payees, exact incurrence dates, and official compliance certificate.</t>
  </si>
  <si>
    <t xml:space="preserve">Do not also add the same fees through a pro forma acquisition-cost line.</t>
  </si>
  <si>
    <t xml:space="preserve">Transaction and financing alternatives</t>
  </si>
  <si>
    <t xml:space="preserve">Selected refinancing sources and uses</t>
  </si>
  <si>
    <t xml:space="preserve">Use / control</t>
  </si>
  <si>
    <t xml:space="preserve">Term funding</t>
  </si>
  <si>
    <t xml:space="preserve">Existing debt payoff and approved closing uses</t>
  </si>
  <si>
    <t xml:space="preserve">Reference closing uses</t>
  </si>
  <si>
    <t xml:space="preserve">Conditional non-debt source</t>
  </si>
  <si>
    <t xml:space="preserve">Sources less uses</t>
  </si>
  <si>
    <t xml:space="preserve">Total sources</t>
  </si>
  <si>
    <t xml:space="preserve">Conditional source status</t>
  </si>
  <si>
    <t xml:space="preserve">Pending information / condition precedent</t>
  </si>
  <si>
    <t xml:space="preserve">Sources and uses check</t>
  </si>
  <si>
    <t xml:space="preserve">Opening capitalization</t>
  </si>
  <si>
    <t xml:space="preserve">Opening bank debt</t>
  </si>
  <si>
    <t xml:space="preserve">Opening gross funded leverage</t>
  </si>
  <si>
    <t xml:space="preserve">Existing and refinancing comparison</t>
  </si>
  <si>
    <t xml:space="preserve">Opening funded debt</t>
  </si>
  <si>
    <t xml:space="preserve">All-in base liquidity</t>
  </si>
  <si>
    <t xml:space="preserve">Retain existing facilities</t>
  </si>
  <si>
    <t xml:space="preserve">Selected $635m refinancing</t>
  </si>
  <si>
    <t xml:space="preserve">$650m reference refinancing</t>
  </si>
  <si>
    <t xml:space="preserve">Limited amendment / extension</t>
  </si>
  <si>
    <t xml:space="preserve">Public information is insufficient for quantitative modeling.</t>
  </si>
  <si>
    <t xml:space="preserve">Commitment and unresolved closing items</t>
  </si>
  <si>
    <t xml:space="preserve">Financing fees not already approved</t>
  </si>
  <si>
    <t xml:space="preserve">LC transition mechanics</t>
  </si>
  <si>
    <t xml:space="preserve">Gross availability</t>
  </si>
  <si>
    <t xml:space="preserve">Final lender pricing</t>
  </si>
  <si>
    <t xml:space="preserve">Usable availability after LCs</t>
  </si>
  <si>
    <t xml:space="preserve">Final payoff and funds flow</t>
  </si>
  <si>
    <t xml:space="preserve">Quarterly operating and cash forecast</t>
  </si>
  <si>
    <t xml:space="preserve">Q2:26</t>
  </si>
  <si>
    <t xml:space="preserve">Q3:26</t>
  </si>
  <si>
    <t xml:space="preserve">Q4:26</t>
  </si>
  <si>
    <t xml:space="preserve">Q1:27</t>
  </si>
  <si>
    <t xml:space="preserve">Q2:27</t>
  </si>
  <si>
    <t xml:space="preserve">Q3:27</t>
  </si>
  <si>
    <t xml:space="preserve">Q4:27</t>
  </si>
  <si>
    <t xml:space="preserve">Q1:28</t>
  </si>
  <si>
    <t xml:space="preserve">Q2:28</t>
  </si>
  <si>
    <t xml:space="preserve">Q3:28</t>
  </si>
  <si>
    <t xml:space="preserve">Q4:28</t>
  </si>
  <si>
    <t xml:space="preserve">Q1:29</t>
  </si>
  <si>
    <t xml:space="preserve">Q2:29</t>
  </si>
  <si>
    <t xml:space="preserve">Q3:29</t>
  </si>
  <si>
    <t xml:space="preserve">Q4:29</t>
  </si>
  <si>
    <t xml:space="preserve">Q1:30</t>
  </si>
  <si>
    <t xml:space="preserve">Q2:30</t>
  </si>
  <si>
    <t xml:space="preserve">Q3:30</t>
  </si>
  <si>
    <t xml:space="preserve">Q4:30</t>
  </si>
  <si>
    <t xml:space="preserve">Q1:31</t>
  </si>
  <si>
    <t xml:space="preserve">Gross margin</t>
  </si>
  <si>
    <t xml:space="preserve">Cash operating expenses</t>
  </si>
  <si>
    <t xml:space="preserve">Depreciation and amortization</t>
  </si>
  <si>
    <t xml:space="preserve">Operating profit</t>
  </si>
  <si>
    <t xml:space="preserve">Cash taxes</t>
  </si>
  <si>
    <t xml:space="preserve">Working-capital cash flow</t>
  </si>
  <si>
    <t xml:space="preserve">Other operating cash uses</t>
  </si>
  <si>
    <t xml:space="preserve">CFADS before cash interest</t>
  </si>
  <si>
    <t xml:space="preserve">CFO proxy</t>
  </si>
  <si>
    <t xml:space="preserve">Free cash flow proxy</t>
  </si>
  <si>
    <t xml:space="preserve">Distributions</t>
  </si>
  <si>
    <t xml:space="preserve">Cash available before financing</t>
  </si>
  <si>
    <t xml:space="preserve">Debt schedule: 24 monthly periods, then quarterly</t>
  </si>
  <si>
    <t xml:space="preserve">Period ID</t>
  </si>
  <si>
    <t xml:space="preserve">Period end</t>
  </si>
  <si>
    <t xml:space="preserve">Frequency</t>
  </si>
  <si>
    <t xml:space="preserve">Fiscal year</t>
  </si>
  <si>
    <t xml:space="preserve">Quarter</t>
  </si>
  <si>
    <t xml:space="preserve">Days</t>
  </si>
  <si>
    <t xml:space="preserve">Opening term</t>
  </si>
  <si>
    <t xml:space="preserve">Maturity principal paid</t>
  </si>
  <si>
    <t xml:space="preserve">Ending term</t>
  </si>
  <si>
    <t xml:space="preserve">Revolver draw</t>
  </si>
  <si>
    <t xml:space="preserve">Revolver repayment</t>
  </si>
  <si>
    <t xml:space="preserve">Ending revolver</t>
  </si>
  <si>
    <t xml:space="preserve">Average bank debt</t>
  </si>
  <si>
    <t xml:space="preserve">Retained debt payment</t>
  </si>
  <si>
    <t xml:space="preserve">Ending cash</t>
  </si>
  <si>
    <t xml:space="preserve">Total bank debt</t>
  </si>
  <si>
    <t xml:space="preserve">Retained other debt</t>
  </si>
  <si>
    <t xml:space="preserve">Total funded debt</t>
  </si>
  <si>
    <t xml:space="preserve">Revolver availability</t>
  </si>
  <si>
    <t xml:space="preserve">Usable liquidity</t>
  </si>
  <si>
    <t xml:space="preserve">Approved Phase 7 paths with live term, contribution, amortization, rate, EBITDA, DSO and liquidity controls.</t>
  </si>
  <si>
    <t xml:space="preserve">Liquidity and drawability</t>
  </si>
  <si>
    <t xml:space="preserve">Subsequent minimum usable liquidity</t>
  </si>
  <si>
    <t xml:space="preserve">Date of subsequent minimum</t>
  </si>
  <si>
    <t xml:space="preserve">All-in minimum usable liquidity</t>
  </si>
  <si>
    <t xml:space="preserve">Date of all-in minimum</t>
  </si>
  <si>
    <t xml:space="preserve">Opening cash</t>
  </si>
  <si>
    <t xml:space="preserve">Retained payment</t>
  </si>
  <si>
    <t xml:space="preserve">Revolver</t>
  </si>
  <si>
    <t xml:space="preserve">Drawable availability</t>
  </si>
  <si>
    <t xml:space="preserve">Cash-floor status</t>
  </si>
  <si>
    <t xml:space="preserve">Commitment status</t>
  </si>
  <si>
    <t xml:space="preserve">Chart period</t>
  </si>
  <si>
    <t xml:space="preserve">Proposed covenant tests and analyst warnings</t>
  </si>
  <si>
    <t xml:space="preserve">Public-information calculations are not official compliance certificates. Gross leverage assumes zero covenant cash netting. Book-cash net leverage is diagnostic only.</t>
  </si>
  <si>
    <t xml:space="preserve">Gross funded debt</t>
  </si>
  <si>
    <t xml:space="preserve">LTM lender EBITDA</t>
  </si>
  <si>
    <t xml:space="preserve">Gross leverage</t>
  </si>
  <si>
    <t xml:space="preserve">Leverage display</t>
  </si>
  <si>
    <t xml:space="preserve">Covenant maximum</t>
  </si>
  <si>
    <t xml:space="preserve">Leverage status</t>
  </si>
  <si>
    <t xml:space="preserve">LTM cash interest</t>
  </si>
  <si>
    <t xml:space="preserve">Coverage</t>
  </si>
  <si>
    <t xml:space="preserve">Coverage display</t>
  </si>
  <si>
    <t xml:space="preserve">Coverage minimum</t>
  </si>
  <si>
    <t xml:space="preserve">Coverage status</t>
  </si>
  <si>
    <t xml:space="preserve">Liquidity status</t>
  </si>
  <si>
    <t xml:space="preserve">Overall warning</t>
  </si>
  <si>
    <t xml:space="preserve">Overall covenant</t>
  </si>
  <si>
    <t xml:space="preserve">Completeness</t>
  </si>
  <si>
    <t xml:space="preserve">Operating cash</t>
  </si>
  <si>
    <t xml:space="preserve">Cash floor</t>
  </si>
  <si>
    <t xml:space="preserve">Leverage ratio headroom</t>
  </si>
  <si>
    <t xml:space="preserve">Leverage debt headroom</t>
  </si>
  <si>
    <t xml:space="preserve">Break-even EBITDA</t>
  </si>
  <si>
    <t xml:space="preserve">Coverage earnings cushion</t>
  </si>
  <si>
    <t xml:space="preserve">Closing</t>
  </si>
  <si>
    <t xml:space="preserve">Recovery analysis</t>
  </si>
  <si>
    <t xml:space="preserve">Pending Phase 9</t>
  </si>
  <si>
    <t xml:space="preserve">No approved recovery assumptions</t>
  </si>
  <si>
    <t xml:space="preserve">No recovery percentage presented</t>
  </si>
  <si>
    <t xml:space="preserve">Current status</t>
  </si>
  <si>
    <t xml:space="preserve">Required Phase 9 evidence</t>
  </si>
  <si>
    <t xml:space="preserve">Boundary</t>
  </si>
  <si>
    <t xml:space="preserve">Going concern</t>
  </si>
  <si>
    <t xml:space="preserve">Pending</t>
  </si>
  <si>
    <t xml:space="preserve">Approved enterprise-value method and operating case</t>
  </si>
  <si>
    <t xml:space="preserve">Alternative to liquidation; not additive</t>
  </si>
  <si>
    <t xml:space="preserve">Liquidation</t>
  </si>
  <si>
    <t xml:space="preserve">Collateral appraisals and realizable values</t>
  </si>
  <si>
    <t xml:space="preserve">Alternative to going concern; not additive</t>
  </si>
  <si>
    <t xml:space="preserve">Collateral and perfection</t>
  </si>
  <si>
    <t xml:space="preserve">Unresolved</t>
  </si>
  <si>
    <t xml:space="preserve">Final schedules, liens and perfection evidence</t>
  </si>
  <si>
    <t xml:space="preserve">No invented collateral value</t>
  </si>
  <si>
    <t xml:space="preserve">Guarantees and foreign cash</t>
  </si>
  <si>
    <t xml:space="preserve">Legal entity, guarantor and accessibility evidence</t>
  </si>
  <si>
    <t xml:space="preserve">No assumed recovery credit</t>
  </si>
  <si>
    <t xml:space="preserve">Recovery output</t>
  </si>
  <si>
    <t xml:space="preserve">Not calculated</t>
  </si>
  <si>
    <t xml:space="preserve">Separate Phase 9 authorization</t>
  </si>
  <si>
    <t xml:space="preserve">No recovery percentage in Phase 8</t>
  </si>
  <si>
    <t xml:space="preserve">Decision-relevant sensitivities</t>
  </si>
  <si>
    <t xml:space="preserve">Term sizing and opening gross leverage</t>
  </si>
  <si>
    <t xml:space="preserve">Rate, working capital and liquidity</t>
  </si>
  <si>
    <t xml:space="preserve">Term amount</t>
  </si>
  <si>
    <t xml:space="preserve">Non-debt source</t>
  </si>
  <si>
    <t xml:space="preserve">Opening leverage</t>
  </si>
  <si>
    <t xml:space="preserve">Spread change</t>
  </si>
  <si>
    <t xml:space="preserve">Cash interest diagnostic</t>
  </si>
  <si>
    <t xml:space="preserve">Liquidity effect</t>
  </si>
  <si>
    <t xml:space="preserve">Maturity-gap effect</t>
  </si>
  <si>
    <t xml:space="preserve">EBITDA and leverage headroom</t>
  </si>
  <si>
    <t xml:space="preserve">Amortization and liquidity</t>
  </si>
  <si>
    <t xml:space="preserve">EBITDA change</t>
  </si>
  <si>
    <t xml:space="preserve">Lender EBITDA</t>
  </si>
  <si>
    <t xml:space="preserve">3.50x debt headroom</t>
  </si>
  <si>
    <t xml:space="preserve">3.25x warning headroom</t>
  </si>
  <si>
    <t xml:space="preserve">Maturity-gap diagnostic</t>
  </si>
  <si>
    <t xml:space="preserve">Annual amortization</t>
  </si>
  <si>
    <t xml:space="preserve">All-in liquidity</t>
  </si>
  <si>
    <t xml:space="preserve">Source type</t>
  </si>
  <si>
    <t xml:space="preserve">Document</t>
  </si>
  <si>
    <t xml:space="preserve">Document date</t>
  </si>
  <si>
    <t xml:space="preserve">Page / section</t>
  </si>
  <si>
    <t xml:space="preserve">URL / path</t>
  </si>
  <si>
    <t xml:space="preserve">Original units</t>
  </si>
  <si>
    <t xml:space="preserve">Normalized units</t>
  </si>
  <si>
    <t xml:space="preserve">Classification</t>
  </si>
  <si>
    <t xml:space="preserve">Workbook use</t>
  </si>
  <si>
    <t xml:space="preserve">SEC 10-K</t>
  </si>
  <si>
    <t xml:space="preserve">Quanex FY2025 Form 10-K</t>
  </si>
  <si>
    <t xml:space="preserve">2025-10-31</t>
  </si>
  <si>
    <t xml:space="preserve">See source document</t>
  </si>
  <si>
    <t xml:space="preserve">https://www.sec.gov/Archives/edgar/data/1423221/000142322125000100/nx-20251031.htm</t>
  </si>
  <si>
    <t xml:space="preserve">As reported</t>
  </si>
  <si>
    <t xml:space="preserve">USD millions where applicable</t>
  </si>
  <si>
    <t xml:space="preserve">approved evidence</t>
  </si>
  <si>
    <t xml:space="preserve">approved upstream</t>
  </si>
  <si>
    <t xml:space="preserve">Historicals / Sources / transaction terms</t>
  </si>
  <si>
    <t xml:space="preserve">Filed three calendar days before committee date</t>
  </si>
  <si>
    <t xml:space="preserve">SEC 8-K exhibit</t>
  </si>
  <si>
    <t xml:space="preserve">Quanex Q4 and FY2025 results release</t>
  </si>
  <si>
    <t xml:space="preserve">https://www.sec.gov/Archives/edgar/data/1423221/000117184325007891/exh_991.htm</t>
  </si>
  <si>
    <t xml:space="preserve">Use alongside SRC-001</t>
  </si>
  <si>
    <t xml:space="preserve">SRC-003</t>
  </si>
  <si>
    <t xml:space="preserve">Amendment No. 1 with conformed Second Amended and Restated Credit Agreement</t>
  </si>
  <si>
    <t xml:space="preserve">2024-08-01</t>
  </si>
  <si>
    <t xml:space="preserve">https://www.sec.gov/Archives/edgar/data/1423221/000110465924071335/tm2417183d1_ex10-1.htm</t>
  </si>
  <si>
    <t xml:space="preserve">Controls over inconsistent 10-K summaries</t>
  </si>
  <si>
    <t xml:space="preserve">SRC-004</t>
  </si>
  <si>
    <t xml:space="preserve">Second Amended and Restated Credit Agreement</t>
  </si>
  <si>
    <t xml:space="preserve">2022-07-06</t>
  </si>
  <si>
    <t xml:space="preserve">https://www.sec.gov/Archives/edgar/data/1423221/000110465922077705/tm2220473d1_ex10-1.htm</t>
  </si>
  <si>
    <t xml:space="preserve">Read together with Amendment No. 1</t>
  </si>
  <si>
    <t xml:space="preserve">SRC-005</t>
  </si>
  <si>
    <t xml:space="preserve">SEC 8-K exhibits</t>
  </si>
  <si>
    <t xml:space="preserve">Quanex announcement of proposed Tyman acquisition</t>
  </si>
  <si>
    <t xml:space="preserve">2024-04-22</t>
  </si>
  <si>
    <t xml:space="preserve">https://www.sec.gov/Archives/edgar/data/1423221/000110465924049723/tm2412350d1_8k.htm</t>
  </si>
  <si>
    <t xml:space="preserve">Includes cooperation agreement and investor presentation exhibits</t>
  </si>
  <si>
    <t xml:space="preserve">SRC-006</t>
  </si>
  <si>
    <t xml:space="preserve">SEC DEFM14A</t>
  </si>
  <si>
    <t xml:space="preserve">Quanex definitive merger proxy statement</t>
  </si>
  <si>
    <t xml:space="preserve">2024-06-06</t>
  </si>
  <si>
    <t xml:space="preserve">https://www.sec.gov/Archives/edgar/data/1423221/000110465924068913/tm2414631-3_defm14a.htm</t>
  </si>
  <si>
    <t xml:space="preserve">Do not import later actuals into forecast evaluation</t>
  </si>
  <si>
    <t xml:space="preserve">SRC-007</t>
  </si>
  <si>
    <t xml:space="preserve">SEC 8-K</t>
  </si>
  <si>
    <t xml:space="preserve">Completion of Tyman acquisition</t>
  </si>
  <si>
    <t xml:space="preserve">https://www.sec.gov/Archives/edgar/data/1423221/000110465924084639/0001104659-24-084639-index.htm</t>
  </si>
  <si>
    <t xml:space="preserve">Index location retained because filing contains multiple relevant exhibits</t>
  </si>
  <si>
    <t xml:space="preserve">SRC-008</t>
  </si>
  <si>
    <t xml:space="preserve">SEC 8-K/A exhibit</t>
  </si>
  <si>
    <t xml:space="preserve">Unaudited pro forma condensed combined financial information</t>
  </si>
  <si>
    <t xml:space="preserve">https://www.sec.gov/Archives/edgar/data/1423221/000110465924109176/tm2426109d1_ex99-1.htm</t>
  </si>
  <si>
    <t xml:space="preserve">Useful for comparability bridge, not a substitute for reported results</t>
  </si>
  <si>
    <t xml:space="preserve">SRC-009</t>
  </si>
  <si>
    <t xml:space="preserve">SEC 10-Q</t>
  </si>
  <si>
    <t xml:space="preserve">Quanex FY2025 Q1 Form 10-Q</t>
  </si>
  <si>
    <t xml:space="preserve">2025-01-31</t>
  </si>
  <si>
    <t xml:space="preserve">https://www.sec.gov/Archives/edgar/data/1423221/000142322125000003/0001423221-25-000003-index.htm</t>
  </si>
  <si>
    <t xml:space="preserve">Unaudited interim filing</t>
  </si>
  <si>
    <t xml:space="preserve">SRC-010</t>
  </si>
  <si>
    <t xml:space="preserve">Quanex FY2025 Q2 Form 10-Q</t>
  </si>
  <si>
    <t xml:space="preserve">2025-04-30</t>
  </si>
  <si>
    <t xml:space="preserve">https://www.sec.gov/Archives/edgar/data/1423221/000142322125000007/0001423221-25-000007-index.htm</t>
  </si>
  <si>
    <t xml:space="preserve">SRC-011</t>
  </si>
  <si>
    <t xml:space="preserve">Quanex FY2025 Q3 Form 10-Q</t>
  </si>
  <si>
    <t xml:space="preserve">2025-07-31</t>
  </si>
  <si>
    <t xml:space="preserve">https://www.sec.gov/Archives/edgar/data/1423221/000142322125000024/0001423221-25-000024-index.htm</t>
  </si>
  <si>
    <t xml:space="preserve">SRC-012</t>
  </si>
  <si>
    <t xml:space="preserve">Quanex FY2024 Form 10-K</t>
  </si>
  <si>
    <t xml:space="preserve">2024-10-31</t>
  </si>
  <si>
    <t xml:space="preserve">https://www.sec.gov/Archives/edgar/data/1423221/000142322124000015/nx-20241031.htm</t>
  </si>
  <si>
    <t xml:space="preserve">Contains only three months of Tyman results</t>
  </si>
  <si>
    <t xml:space="preserve">SRC-013</t>
  </si>
  <si>
    <t xml:space="preserve">Quanex FY2023 Form 10-K</t>
  </si>
  <si>
    <t xml:space="preserve">2023-10-31</t>
  </si>
  <si>
    <t xml:space="preserve">https://www.sec.gov/Archives/edgar/data/1423221/000142322123000016/nx-20231031.htm</t>
  </si>
  <si>
    <t xml:space="preserve">Pre-acquisition baseline</t>
  </si>
  <si>
    <t xml:space="preserve">SRC-014</t>
  </si>
  <si>
    <t xml:space="preserve">Quanex FY2022 Form 10-K</t>
  </si>
  <si>
    <t xml:space="preserve">2022-10-31</t>
  </si>
  <si>
    <t xml:space="preserve">https://www.sec.gov/Archives/edgar/data/1423221/000142322122000014/nx-20221031.htm</t>
  </si>
  <si>
    <t xml:space="preserve">Supports FY2021-FY2022 history</t>
  </si>
  <si>
    <t xml:space="preserve">SRC-015</t>
  </si>
  <si>
    <t xml:space="preserve">Quanex FY2021 Form 10-K</t>
  </si>
  <si>
    <t xml:space="preserve">2021-10-31</t>
  </si>
  <si>
    <t xml:space="preserve">https://www.sec.gov/Archives/edgar/data/1423221/000142322121000018/0001423221-21-000018-index.htm</t>
  </si>
  <si>
    <t xml:space="preserve">Earliest target historical year</t>
  </si>
  <si>
    <t xml:space="preserve">SRC-016</t>
  </si>
  <si>
    <t xml:space="preserve">Quanex FY2025 Q2 results release and covenant clarification</t>
  </si>
  <si>
    <t xml:space="preserve">https://www.sec.gov/Archives/edgar/data/1423221/000117184325003726/exh_991.htm</t>
  </si>
  <si>
    <t xml:space="preserve">States 3.75x through FY2025 Q4 and 3.25x beginning FY2026 Q1</t>
  </si>
  <si>
    <t xml:space="preserve">P7FA-001</t>
  </si>
  <si>
    <t xml:space="preserve">owner-reviewed assumption</t>
  </si>
  <si>
    <t xml:space="preserve">selected_candidate</t>
  </si>
  <si>
    <t xml:space="preserve">identifier</t>
  </si>
  <si>
    <t xml:space="preserve">selection</t>
  </si>
  <si>
    <t xml:space="preserve">data/phase7/processed/FINAL_FINANCING_ASSUMPTIONS.csv</t>
  </si>
  <si>
    <t xml:space="preserve">owner_reviewed_provisional</t>
  </si>
  <si>
    <t xml:space="preserve">Implement as a formula-linked input only when Phase 8 is separately authorized; retain pending-information and condition-precedent status where stated.</t>
  </si>
  <si>
    <t xml:space="preserve">Approved for the Phase 7 public-information underwriting structure; not an actual lender commitment, final legal drafting, official covenant compliance calculation, or evidence that unresolved funding sources or private information exist; subject to the stated conditions and diligence gaps.</t>
  </si>
  <si>
    <t xml:space="preserve">term_commitment</t>
  </si>
  <si>
    <t xml:space="preserve">facilities</t>
  </si>
  <si>
    <t xml:space="preserve">proposed</t>
  </si>
  <si>
    <t xml:space="preserve">P7FA-003</t>
  </si>
  <si>
    <t xml:space="preserve">initial_term_funding</t>
  </si>
  <si>
    <t xml:space="preserve">P7FA-004</t>
  </si>
  <si>
    <t xml:space="preserve">analytical_total_funded_debt_capacity</t>
  </si>
  <si>
    <t xml:space="preserve">sizing</t>
  </si>
  <si>
    <t xml:space="preserve">formula_calculated</t>
  </si>
  <si>
    <t xml:space="preserve">P7FA-005</t>
  </si>
  <si>
    <t xml:space="preserve">analytical_bank_debt_capacity</t>
  </si>
  <si>
    <t xml:space="preserve">P7FA-006</t>
  </si>
  <si>
    <t xml:space="preserve">analytical_term_capacity_at_reference_revolver</t>
  </si>
  <si>
    <t xml:space="preserve">required_non_debt_contribution</t>
  </si>
  <si>
    <t xml:space="preserve">funding</t>
  </si>
  <si>
    <t xml:space="preserve">conditional_pending_evidence</t>
  </si>
  <si>
    <t xml:space="preserve">P7FA-008</t>
  </si>
  <si>
    <t xml:space="preserve">opening_revolver_draw</t>
  </si>
  <si>
    <t xml:space="preserve">inherited_reference</t>
  </si>
  <si>
    <t xml:space="preserve">revolver_commitment</t>
  </si>
  <si>
    <t xml:space="preserve">letters_of_credit</t>
  </si>
  <si>
    <t xml:space="preserve">P7FA-011</t>
  </si>
  <si>
    <t xml:space="preserve">total_term_plus_revolver_commitments</t>
  </si>
  <si>
    <t xml:space="preserve">undrawn_term_commitment</t>
  </si>
  <si>
    <t xml:space="preserve">unused_term_commitment_treatment</t>
  </si>
  <si>
    <t xml:space="preserve">text</t>
  </si>
  <si>
    <t xml:space="preserve">P7FA-014</t>
  </si>
  <si>
    <t xml:space="preserve">opening_total_funded_debt</t>
  </si>
  <si>
    <t xml:space="preserve">P7FA-015</t>
  </si>
  <si>
    <t xml:space="preserve">closing_gross_funded_leverage</t>
  </si>
  <si>
    <t xml:space="preserve">annual_amortization</t>
  </si>
  <si>
    <t xml:space="preserve">percent_of_original_funded_term</t>
  </si>
  <si>
    <t xml:space="preserve">amortization</t>
  </si>
  <si>
    <t xml:space="preserve">term_and_revolver_maturity</t>
  </si>
  <si>
    <t xml:space="preserve">maturity</t>
  </si>
  <si>
    <t xml:space="preserve">P7FA-018</t>
  </si>
  <si>
    <t xml:space="preserve">term_and_drawn_revolver_margin</t>
  </si>
  <si>
    <t xml:space="preserve">basis_points_over_SOFR</t>
  </si>
  <si>
    <t xml:space="preserve">pricing</t>
  </si>
  <si>
    <t xml:space="preserve">pending_lender_proposal</t>
  </si>
  <si>
    <t xml:space="preserve">modeled_all_in_rate</t>
  </si>
  <si>
    <t xml:space="preserve">testing_assumption</t>
  </si>
  <si>
    <t xml:space="preserve">operating_cash_floor</t>
  </si>
  <si>
    <t xml:space="preserve">model_control</t>
  </si>
  <si>
    <t xml:space="preserve">contractual_cash_netting</t>
  </si>
  <si>
    <t xml:space="preserve">maximum_gross_total_funded_leverage_initial</t>
  </si>
  <si>
    <t xml:space="preserve">covenants</t>
  </si>
  <si>
    <t xml:space="preserve">maximum_gross_total_funded_leverage_step1</t>
  </si>
  <si>
    <t xml:space="preserve">maximum_gross_total_funded_leverage_step2</t>
  </si>
  <si>
    <t xml:space="preserve">minimum_cash_interest_coverage</t>
  </si>
  <si>
    <t xml:space="preserve">minimum_usable_liquidity</t>
  </si>
  <si>
    <t xml:space="preserve">leverage_warning_schedule</t>
  </si>
  <si>
    <t xml:space="preserve">warnings</t>
  </si>
  <si>
    <t xml:space="preserve">cash_interest_coverage_warning</t>
  </si>
  <si>
    <t xml:space="preserve">usable_liquidity_warning</t>
  </si>
  <si>
    <t xml:space="preserve">annual_excess_cash_flow_sweep</t>
  </si>
  <si>
    <t xml:space="preserve">prepayment</t>
  </si>
  <si>
    <t xml:space="preserve">share_repurchase_rule</t>
  </si>
  <si>
    <t xml:space="preserve">distributions</t>
  </si>
  <si>
    <t xml:space="preserve">P7FA-032</t>
  </si>
  <si>
    <t xml:space="preserve">dividend_rule</t>
  </si>
  <si>
    <t xml:space="preserve">P7FA-033</t>
  </si>
  <si>
    <t xml:space="preserve">participating_bank_hold_cap</t>
  </si>
  <si>
    <t xml:space="preserve">hold</t>
  </si>
  <si>
    <t xml:space="preserve">inherited_proposal</t>
  </si>
  <si>
    <t xml:space="preserve">P7FA-034</t>
  </si>
  <si>
    <t xml:space="preserve">collateral</t>
  </si>
  <si>
    <t xml:space="preserve">security</t>
  </si>
  <si>
    <t xml:space="preserve">P7FA-035</t>
  </si>
  <si>
    <t xml:space="preserve">guarantors</t>
  </si>
  <si>
    <t xml:space="preserve">P7FA-036</t>
  </si>
  <si>
    <t xml:space="preserve">covenant_linked_no_waiver</t>
  </si>
  <si>
    <t xml:space="preserve">drawability</t>
  </si>
  <si>
    <t xml:space="preserve">P7FA-037</t>
  </si>
  <si>
    <t xml:space="preserve">common_horizon_end</t>
  </si>
  <si>
    <t xml:space="preserve">comparison</t>
  </si>
  <si>
    <t xml:space="preserve">P7FA-038</t>
  </si>
  <si>
    <t xml:space="preserve">reporting_cadence</t>
  </si>
  <si>
    <t xml:space="preserve">reporting</t>
  </si>
  <si>
    <t xml:space="preserve">P7FA-039</t>
  </si>
  <si>
    <t xml:space="preserve">required_conditions</t>
  </si>
  <si>
    <t xml:space="preserve">identifiers</t>
  </si>
  <si>
    <t xml:space="preserve">closing</t>
  </si>
  <si>
    <t xml:space="preserve">inherited_required_conditions</t>
  </si>
  <si>
    <t xml:space="preserve">P7FA-040</t>
  </si>
  <si>
    <t xml:space="preserve">opening_usable_liquidity</t>
  </si>
  <si>
    <t xml:space="preserve">liquidity_presentation</t>
  </si>
  <si>
    <t xml:space="preserve">P7FA-041</t>
  </si>
  <si>
    <t xml:space="preserve">subsequent_minimum_usable_liquidity</t>
  </si>
  <si>
    <t xml:space="preserve">P7FA-042</t>
  </si>
  <si>
    <t xml:space="preserve">subsequent_minimum_liquidity_date</t>
  </si>
  <si>
    <t xml:space="preserve">P7FA-043</t>
  </si>
  <si>
    <t xml:space="preserve">all_in_minimum_usable_liquidity</t>
  </si>
  <si>
    <t xml:space="preserve">P7FA-044</t>
  </si>
  <si>
    <t xml:space="preserve">all_in_minimum_liquidity_date</t>
  </si>
  <si>
    <t xml:space="preserve">date_or_label</t>
  </si>
  <si>
    <t xml:space="preserve">Workbook checks</t>
  </si>
  <si>
    <t xml:space="preserve">Checks is a terminal audit sheet. Missing or untested items remain N/D and never display PASS.</t>
  </si>
  <si>
    <t xml:space="preserve">Check</t>
  </si>
  <si>
    <t xml:space="preserve">Observed</t>
  </si>
  <si>
    <t xml:space="preserve">Expected</t>
  </si>
  <si>
    <t xml:space="preserve">Tolerance</t>
  </si>
  <si>
    <t xml:space="preserve">Notes</t>
  </si>
  <si>
    <t xml:space="preserve">Sources equal uses</t>
  </si>
  <si>
    <t xml:space="preserve">Selected closing bridge</t>
  </si>
  <si>
    <t xml:space="preserve">Opening debt reconciliation</t>
  </si>
  <si>
    <t xml:space="preserve">Phase 7 selected debt</t>
  </si>
  <si>
    <t xml:space="preserve">Debt roll-forward</t>
  </si>
  <si>
    <t xml:space="preserve">Formula-chain structural control</t>
  </si>
  <si>
    <t xml:space="preserve">No balance above commitment</t>
  </si>
  <si>
    <t xml:space="preserve">LC treatment</t>
  </si>
  <si>
    <t xml:space="preserve">Counted once</t>
  </si>
  <si>
    <t xml:space="preserve">Cash roll-forward</t>
  </si>
  <si>
    <t xml:space="preserve">Failures remain separately visible</t>
  </si>
  <si>
    <t xml:space="preserve">Paid principal ties to approved path at Base</t>
  </si>
  <si>
    <t xml:space="preserve">Sweep ties to approved path and retains safeguard</t>
  </si>
  <si>
    <t xml:space="preserve">Interest calculation</t>
  </si>
  <si>
    <t xml:space="preserve">Approved rate state ties; sensitivities respond to rate and debt</t>
  </si>
  <si>
    <t xml:space="preserve">Not presented as improved debt</t>
  </si>
  <si>
    <t xml:space="preserve">Historical imports</t>
  </si>
  <si>
    <t xml:space="preserve">&gt;0</t>
  </si>
  <si>
    <t xml:space="preserve">Fixed when scenario changes</t>
  </si>
  <si>
    <t xml:space="preserve">EBITDA bridge FY2025</t>
  </si>
  <si>
    <t xml:space="preserve">Owner-reviewed lender base</t>
  </si>
  <si>
    <t xml:space="preserve">Scenario selector</t>
  </si>
  <si>
    <t xml:space="preserve">One editable selector</t>
  </si>
  <si>
    <t xml:space="preserve">Scenario input completeness</t>
  </si>
  <si>
    <t xml:space="preserve">Fields required by live formulas are populated</t>
  </si>
  <si>
    <t xml:space="preserve">Scenario snapshot freshness</t>
  </si>
  <si>
    <t xml:space="preserve">Formula-driven stale flag</t>
  </si>
  <si>
    <t xml:space="preserve">Covenant boundaries</t>
  </si>
  <si>
    <t xml:space="preserve">&gt;=0</t>
  </si>
  <si>
    <t xml:space="preserve">Equality is compliant; breach strictly above</t>
  </si>
  <si>
    <t xml:space="preserve">Covenant step-down dates</t>
  </si>
  <si>
    <t xml:space="preserve">3.50x / 3.25x / 3.00x</t>
  </si>
  <si>
    <t xml:space="preserve">N/D versus N/M</t>
  </si>
  <si>
    <t xml:space="preserve">&gt;=1</t>
  </si>
  <si>
    <t xml:space="preserve">Missing and nonmeaningful are distinct</t>
  </si>
  <si>
    <t xml:space="preserve">Warning alone does not terminate drawings</t>
  </si>
  <si>
    <t xml:space="preserve">Distribution restrictions</t>
  </si>
  <si>
    <t xml:space="preserve">Common-horizon comparison</t>
  </si>
  <si>
    <t xml:space="preserve">Imported Phase 7 control</t>
  </si>
  <si>
    <t xml:space="preserve">Separated from maturity</t>
  </si>
  <si>
    <t xml:space="preserve">Ultimate maturity gap</t>
  </si>
  <si>
    <t xml:space="preserve">Python-to-Excel parity</t>
  </si>
  <si>
    <t xml:space="preserve">Full parity file provides detail</t>
  </si>
  <si>
    <t xml:space="preserve">External-link count</t>
  </si>
  <si>
    <t xml:space="preserve">Programmatic package scan</t>
  </si>
  <si>
    <t xml:space="preserve">Formula-error count</t>
  </si>
  <si>
    <t xml:space="preserve">Programmatic cached-value scan</t>
  </si>
  <si>
    <t xml:space="preserve">Stale-snapshot count</t>
  </si>
  <si>
    <t xml:space="preserve">All captures current in saved Base</t>
  </si>
  <si>
    <t xml:space="preserve">Cutoff compliance</t>
  </si>
  <si>
    <t xml:space="preserve">Zero post-cutoff evidence</t>
  </si>
  <si>
    <t xml:space="preserve">Source completeness</t>
  </si>
  <si>
    <t xml:space="preserve">Approved source and assumption register</t>
  </si>
  <si>
    <t xml:space="preserve">Final recalculation</t>
  </si>
  <si>
    <t xml:space="preserve">LibreOffice 26.8.0.3</t>
  </si>
  <si>
    <t xml:space="preserve">Genuine compatible engine</t>
  </si>
  <si>
    <t xml:space="preserve">Final saved scenario</t>
  </si>
  <si>
    <t xml:space="preserve">Capture workflow restores Base</t>
  </si>
  <si>
    <t xml:space="preserve">Warning versus breach logic</t>
  </si>
  <si>
    <t xml:space="preserve">Warnings are inclusive; breaches are strictly above the maximum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</si>
</sst>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"/>
    <numFmt numFmtId="166" formatCode="\$#,##0.0;[RED]&quot;($&quot;#,##0.0\);\-"/>
    <numFmt numFmtId="167" formatCode="0.00\x;[RED]\(0.00&quot;x)&quot;;\-"/>
    <numFmt numFmtId="168" formatCode="0.0%;[RED]\(0.0%\);\-"/>
    <numFmt numFmtId="169" formatCode="@"/>
    <numFmt numFmtId="170" formatCode="0.0"/>
    <numFmt numFmtId="171" formatCode="0.00\x"/>
  </numFmts>
  <fonts count="2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65D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1"/>
      <color rgb="FFFFFFFF"/>
      <name val="Arial"/>
      <family val="0"/>
      <charset val="1"/>
    </font>
    <font>
      <sz val="10"/>
      <color rgb="FF000000"/>
      <name val="Arial"/>
      <family val="2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1"/>
      <color rgb="FF7F6000"/>
      <name val="Arial"/>
      <family val="0"/>
      <charset val="1"/>
    </font>
    <font>
      <b val="true"/>
      <sz val="11"/>
      <color rgb="FF7F6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  <fill>
      <patternFill patternType="solid">
        <fgColor rgb="FF1F4E78"/>
        <bgColor rgb="FF156082"/>
      </patternFill>
    </fill>
    <fill>
      <patternFill patternType="solid">
        <fgColor rgb="FF17365D"/>
        <bgColor rgb="FF333333"/>
      </patternFill>
    </fill>
    <fill>
      <patternFill patternType="solid">
        <fgColor rgb="FFFFF2CC"/>
        <bgColor rgb="FFFAF4EA"/>
      </patternFill>
    </fill>
    <fill>
      <patternFill patternType="solid">
        <fgColor rgb="FFFCE4D6"/>
        <bgColor rgb="FFFFF2CC"/>
      </patternFill>
    </fill>
    <fill>
      <patternFill patternType="solid">
        <fgColor rgb="FFFAF4EA"/>
        <bgColor rgb="FFFFF2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4472C4"/>
      </bottom>
      <diagonal/>
    </border>
    <border diagonalUp="false" diagonalDown="false">
      <left style="dashed">
        <color rgb="FF4472C4"/>
      </left>
      <right style="dashed">
        <color rgb="FF4472C4"/>
      </right>
      <top style="dashed">
        <color rgb="FF4472C4"/>
      </top>
      <bottom style="dashed">
        <color rgb="FF4472C4"/>
      </bottom>
      <diagonal/>
    </border>
    <border diagonalUp="false" diagonalDown="false">
      <left style="thin">
        <color rgb="FF1F4E78"/>
      </left>
      <right/>
      <top style="thin">
        <color rgb="FF1F4E78"/>
      </top>
      <bottom style="thin">
        <color rgb="FF1F4E78"/>
      </bottom>
      <diagonal/>
    </border>
    <border diagonalUp="false" diagonalDown="false">
      <left/>
      <right/>
      <top style="thin">
        <color rgb="FF1F4E78"/>
      </top>
      <bottom style="thin">
        <color rgb="FF1F4E78"/>
      </bottom>
      <diagonal/>
    </border>
    <border diagonalUp="false" diagonalDown="false">
      <left/>
      <right style="thin">
        <color rgb="FF1F4E78"/>
      </right>
      <top style="thin">
        <color rgb="FF1F4E78"/>
      </top>
      <bottom style="thin">
        <color rgb="FF1F4E78"/>
      </bottom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/>
      <top/>
      <bottom style="thin">
        <color rgb="FFFFFFFF"/>
      </bottom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/>
      <diagonal/>
    </border>
    <border diagonalUp="false" diagonalDown="false">
      <left style="thin">
        <color rgb="FFB7C9D6"/>
      </left>
      <right style="thin">
        <color rgb="FFB7C9D6"/>
      </right>
      <top/>
      <bottom/>
      <diagonal/>
    </border>
    <border diagonalUp="false" diagonalDown="false"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 diagonalUp="false" diagonalDown="false">
      <left/>
      <right/>
      <top/>
      <bottom style="double">
        <color rgb="FF17365D"/>
      </bottom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 style="thin">
        <color rgb="FFB7C9D6"/>
      </left>
      <right/>
      <top style="thin">
        <color rgb="FFB7C9D6"/>
      </top>
      <bottom style="thin">
        <color rgb="FFB7C9D6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5" borderId="9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4" fillId="5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4" fillId="6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4" fillId="5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5" fillId="5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6" fillId="5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5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6" fillId="5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4" fillId="5" borderId="1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7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0" fillId="3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0" borderId="1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6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1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6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6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6" borderId="17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6"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b val="1"/>
        <color rgb="FF9C5700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69" type="wholeTable"/>
      <tableStyleElement dxfId="70" type="firstColumnStripe"/>
      <tableStyleElement dxfId="71" type="firstRowStripe"/>
      <tableStyleElement dxfId="72" type="lastColumn"/>
      <tableStyleElement dxfId="73" type="firstColumn"/>
      <tableStyleElement dxfId="74" type="headerRow"/>
      <tableStyleElement dxfId="75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156082"/>
      <rgbColor rgb="FFB7C9D6"/>
      <rgbColor rgb="FF7F8C8D"/>
      <rgbColor rgb="FF9999FF"/>
      <rgbColor rgb="FFA02B93"/>
      <rgbColor rgb="FFFFF2CC"/>
      <rgbColor rgb="FFD9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F9ED5"/>
      <rgbColor rgb="FFFAF4EA"/>
      <rgbColor rgb="FFD9D9D9"/>
      <rgbColor rgb="FFFCE4D6"/>
      <rgbColor rgb="FF99CCFF"/>
      <rgbColor rgb="FFD9C3A5"/>
      <rgbColor rgb="FFCC99FF"/>
      <rgbColor rgb="FFF4CCCC"/>
      <rgbColor rgb="FF4472C4"/>
      <rgbColor rgb="FF46B1E1"/>
      <rgbColor rgb="FF99CC00"/>
      <rgbColor rgb="FFFFCC00"/>
      <rgbColor rgb="FFFF9900"/>
      <rgbColor rgb="FFE97132"/>
      <rgbColor rgb="FF666666"/>
      <rgbColor rgb="FF8B8B8B"/>
      <rgbColor rgb="FF17365D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Maturity gap by approved scenario (USD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"Maturity gap"</c:f>
              <c:strCache>
                <c:ptCount val="1"/>
                <c:pt idx="0">
                  <c:v>Maturity gap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Comparison'!$C$12:$C$16</c:f>
              <c:strCache>
                <c:ptCount val="5"/>
                <c:pt idx="0">
                  <c:v>Base</c:v>
                </c:pt>
                <c:pt idx="1">
                  <c:v>Moderate unmitigated</c:v>
                </c:pt>
                <c:pt idx="2">
                  <c:v>Moderate mitigated</c:v>
                </c:pt>
                <c:pt idx="3">
                  <c:v>Severe unmitigated</c:v>
                </c:pt>
                <c:pt idx="4">
                  <c:v>Severe mitigated</c:v>
                </c:pt>
              </c:strCache>
            </c:strRef>
          </c:cat>
          <c:val>
            <c:numRef>
              <c:f>'Scenario Comparison'!$X$12:$X$16</c:f>
              <c:numCache>
                <c:formatCode>\$#,##0.0;[RED]"($"#,##0.0\);\-</c:formatCode>
                <c:ptCount val="5"/>
                <c:pt idx="0">
                  <c:v>324.779705120148</c:v>
                </c:pt>
                <c:pt idx="1">
                  <c:v>408.375215681358</c:v>
                </c:pt>
                <c:pt idx="2">
                  <c:v>381.132575375899</c:v>
                </c:pt>
                <c:pt idx="3">
                  <c:v>604.258006632587</c:v>
                </c:pt>
                <c:pt idx="4">
                  <c:v>554.718188706225</c:v>
                </c:pt>
              </c:numCache>
            </c:numRef>
          </c:val>
        </c:ser>
        <c:gapWidth val="150"/>
        <c:overlap val="0"/>
        <c:axId val="75111080"/>
        <c:axId val="61284590"/>
      </c:barChart>
      <c:catAx>
        <c:axId val="7511108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1284590"/>
        <c:crosses val="autoZero"/>
        <c:auto val="1"/>
        <c:lblAlgn val="ctr"/>
        <c:lblOffset val="100"/>
        <c:noMultiLvlLbl val="0"/>
      </c:catAx>
      <c:valAx>
        <c:axId val="61284590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5111080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Unsupported maturity gap by scenario (USD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"Maturity gap"</c:f>
              <c:strCache>
                <c:ptCount val="1"/>
                <c:pt idx="0">
                  <c:v>Maturity gap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Comparison'!$C$12:$C$16</c:f>
              <c:strCache>
                <c:ptCount val="5"/>
                <c:pt idx="0">
                  <c:v>Base</c:v>
                </c:pt>
                <c:pt idx="1">
                  <c:v>Moderate unmitigated</c:v>
                </c:pt>
                <c:pt idx="2">
                  <c:v>Moderate mitigated</c:v>
                </c:pt>
                <c:pt idx="3">
                  <c:v>Severe unmitigated</c:v>
                </c:pt>
                <c:pt idx="4">
                  <c:v>Severe mitigated</c:v>
                </c:pt>
              </c:strCache>
            </c:strRef>
          </c:cat>
          <c:val>
            <c:numRef>
              <c:f>'Scenario Comparison'!$X$12:$X$16</c:f>
              <c:numCache>
                <c:formatCode>\$#,##0.0;[RED]"($"#,##0.0\);\-</c:formatCode>
                <c:ptCount val="5"/>
                <c:pt idx="0">
                  <c:v>324.779705120148</c:v>
                </c:pt>
                <c:pt idx="1">
                  <c:v>408.375215681358</c:v>
                </c:pt>
                <c:pt idx="2">
                  <c:v>381.132575375899</c:v>
                </c:pt>
                <c:pt idx="3">
                  <c:v>604.258006632587</c:v>
                </c:pt>
                <c:pt idx="4">
                  <c:v>554.718188706225</c:v>
                </c:pt>
              </c:numCache>
            </c:numRef>
          </c:val>
        </c:ser>
        <c:gapWidth val="150"/>
        <c:overlap val="0"/>
        <c:axId val="70813073"/>
        <c:axId val="11591117"/>
      </c:barChart>
      <c:catAx>
        <c:axId val="7081307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1591117"/>
        <c:crosses val="autoZero"/>
        <c:auto val="1"/>
        <c:lblAlgn val="ctr"/>
        <c:lblOffset val="100"/>
        <c:noMultiLvlLbl val="0"/>
      </c:catAx>
      <c:valAx>
        <c:axId val="1159111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0813073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Historical cash conversion (USD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"FY2021"</c:f>
              <c:strCache>
                <c:ptCount val="1"/>
                <c:pt idx="0">
                  <c:v>FY2021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Historicals!$M$59:$M$60</c:f>
              <c:strCache>
                <c:ptCount val="2"/>
                <c:pt idx="0">
                  <c:v>CFO</c:v>
                </c:pt>
                <c:pt idx="1">
                  <c:v>FCF</c:v>
                </c:pt>
              </c:strCache>
            </c:strRef>
          </c:cat>
          <c:val>
            <c:numRef>
              <c:f>Historicals!$N$59:$N$60</c:f>
              <c:numCache>
                <c:formatCode>General</c:formatCode>
                <c:ptCount val="2"/>
                <c:pt idx="0">
                  <c:v>78.588</c:v>
                </c:pt>
                <c:pt idx="1">
                  <c:v>54.58</c:v>
                </c:pt>
              </c:numCache>
            </c:numRef>
          </c:val>
        </c:ser>
        <c:ser>
          <c:idx val="1"/>
          <c:order val="1"/>
          <c:tx>
            <c:strRef>
              <c:f>"FY2022"</c:f>
              <c:strCache>
                <c:ptCount val="1"/>
                <c:pt idx="0">
                  <c:v>FY2022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Historicals!$M$59:$M$60</c:f>
              <c:strCache>
                <c:ptCount val="2"/>
                <c:pt idx="0">
                  <c:v>CFO</c:v>
                </c:pt>
                <c:pt idx="1">
                  <c:v>FCF</c:v>
                </c:pt>
              </c:strCache>
            </c:strRef>
          </c:cat>
          <c:val>
            <c:numRef>
              <c:f>Historicals!$O$59:$O$60</c:f>
              <c:numCache>
                <c:formatCode>General</c:formatCode>
                <c:ptCount val="2"/>
                <c:pt idx="0">
                  <c:v>97.965</c:v>
                </c:pt>
                <c:pt idx="1">
                  <c:v>64.844</c:v>
                </c:pt>
              </c:numCache>
            </c:numRef>
          </c:val>
        </c:ser>
        <c:ser>
          <c:idx val="2"/>
          <c:order val="2"/>
          <c:tx>
            <c:strRef>
              <c:f>"FY2023"</c:f>
              <c:strCache>
                <c:ptCount val="1"/>
                <c:pt idx="0">
                  <c:v>FY2023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Historicals!$M$59:$M$60</c:f>
              <c:strCache>
                <c:ptCount val="2"/>
                <c:pt idx="0">
                  <c:v>CFO</c:v>
                </c:pt>
                <c:pt idx="1">
                  <c:v>FCF</c:v>
                </c:pt>
              </c:strCache>
            </c:strRef>
          </c:cat>
          <c:val>
            <c:numRef>
              <c:f>Historicals!$P$59:$P$60</c:f>
              <c:numCache>
                <c:formatCode>General</c:formatCode>
                <c:ptCount val="2"/>
                <c:pt idx="0">
                  <c:v>147.052</c:v>
                </c:pt>
                <c:pt idx="1">
                  <c:v>109.662</c:v>
                </c:pt>
              </c:numCache>
            </c:numRef>
          </c:val>
        </c:ser>
        <c:ser>
          <c:idx val="3"/>
          <c:order val="3"/>
          <c:tx>
            <c:strRef>
              <c:f>"FY2024"</c:f>
              <c:strCache>
                <c:ptCount val="1"/>
                <c:pt idx="0">
                  <c:v>FY2024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Historicals!$M$59:$M$60</c:f>
              <c:strCache>
                <c:ptCount val="2"/>
                <c:pt idx="0">
                  <c:v>CFO</c:v>
                </c:pt>
                <c:pt idx="1">
                  <c:v>FCF</c:v>
                </c:pt>
              </c:strCache>
            </c:strRef>
          </c:cat>
          <c:val>
            <c:numRef>
              <c:f>Historicals!$Q$59:$Q$60</c:f>
              <c:numCache>
                <c:formatCode>General</c:formatCode>
                <c:ptCount val="2"/>
                <c:pt idx="0">
                  <c:v>88.812</c:v>
                </c:pt>
                <c:pt idx="1">
                  <c:v>51.726</c:v>
                </c:pt>
              </c:numCache>
            </c:numRef>
          </c:val>
        </c:ser>
        <c:ser>
          <c:idx val="4"/>
          <c:order val="4"/>
          <c:tx>
            <c:strRef>
              <c:f>"FY2025"</c:f>
              <c:strCache>
                <c:ptCount val="1"/>
                <c:pt idx="0">
                  <c:v>FY2025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Historicals!$M$59:$M$60</c:f>
              <c:strCache>
                <c:ptCount val="2"/>
                <c:pt idx="0">
                  <c:v>CFO</c:v>
                </c:pt>
                <c:pt idx="1">
                  <c:v>FCF</c:v>
                </c:pt>
              </c:strCache>
            </c:strRef>
          </c:cat>
          <c:val>
            <c:numRef>
              <c:f>Historicals!$R$59:$R$60</c:f>
              <c:numCache>
                <c:formatCode>General</c:formatCode>
                <c:ptCount val="2"/>
                <c:pt idx="0">
                  <c:v>164.897</c:v>
                </c:pt>
                <c:pt idx="1">
                  <c:v>102.255</c:v>
                </c:pt>
              </c:numCache>
            </c:numRef>
          </c:val>
        </c:ser>
        <c:gapWidth val="150"/>
        <c:overlap val="0"/>
        <c:axId val="30629109"/>
        <c:axId val="37821681"/>
      </c:barChart>
      <c:catAx>
        <c:axId val="3062910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7821681"/>
        <c:crosses val="autoZero"/>
        <c:auto val="1"/>
        <c:lblAlgn val="ctr"/>
        <c:lblOffset val="100"/>
        <c:noMultiLvlLbl val="0"/>
      </c:catAx>
      <c:valAx>
        <c:axId val="3782168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0629109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Earnings definitions (USD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"FY2024"</c:f>
              <c:strCache>
                <c:ptCount val="1"/>
                <c:pt idx="0">
                  <c:v>FY2024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Adjustments'!$S$5:$S$8</c:f>
              <c:strCache>
                <c:ptCount val="4"/>
                <c:pt idx="0">
                  <c:v>Unadjusted EBITDA</c:v>
                </c:pt>
                <c:pt idx="1">
                  <c:v>Company-adjusted EBITDA</c:v>
                </c:pt>
                <c:pt idx="2">
                  <c:v>Partial contractual</c:v>
                </c:pt>
                <c:pt idx="3">
                  <c:v>Lender-base EBITDA</c:v>
                </c:pt>
              </c:strCache>
            </c:strRef>
          </c:cat>
          <c:val>
            <c:numRef>
              <c:f>'Credit Adjustments'!$T$5:$T$8</c:f>
              <c:numCache>
                <c:formatCode>\$#,##0.0;[RED]"($"#,##0.0\);\-</c:formatCode>
                <c:ptCount val="4"/>
                <c:pt idx="0">
                  <c:v>115.154</c:v>
                </c:pt>
                <c:pt idx="1">
                  <c:v>182.383</c:v>
                </c:pt>
                <c:pt idx="2">
                  <c:v>0</c:v>
                </c:pt>
                <c:pt idx="3">
                  <c:v>179.358</c:v>
                </c:pt>
              </c:numCache>
            </c:numRef>
          </c:val>
        </c:ser>
        <c:ser>
          <c:idx val="1"/>
          <c:order val="1"/>
          <c:tx>
            <c:strRef>
              <c:f>"FY2025"</c:f>
              <c:strCache>
                <c:ptCount val="1"/>
                <c:pt idx="0">
                  <c:v>FY2025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'Credit Adjustments'!$S$5:$S$8</c:f>
              <c:strCache>
                <c:ptCount val="4"/>
                <c:pt idx="0">
                  <c:v>Unadjusted EBITDA</c:v>
                </c:pt>
                <c:pt idx="1">
                  <c:v>Company-adjusted EBITDA</c:v>
                </c:pt>
                <c:pt idx="2">
                  <c:v>Partial contractual</c:v>
                </c:pt>
                <c:pt idx="3">
                  <c:v>Lender-base EBITDA</c:v>
                </c:pt>
              </c:strCache>
            </c:strRef>
          </c:cat>
          <c:val>
            <c:numRef>
              <c:f>'Credit Adjustments'!$U$5:$U$8</c:f>
              <c:numCache>
                <c:formatCode>\$#,##0.0;[RED]"($"#,##0.0\);\-</c:formatCode>
                <c:ptCount val="4"/>
                <c:pt idx="0">
                  <c:v>-90.508</c:v>
                </c:pt>
                <c:pt idx="1">
                  <c:v>242.89</c:v>
                </c:pt>
                <c:pt idx="2">
                  <c:v>229.642</c:v>
                </c:pt>
                <c:pt idx="3">
                  <c:v>225.344</c:v>
                </c:pt>
              </c:numCache>
            </c:numRef>
          </c:val>
        </c:ser>
        <c:gapWidth val="150"/>
        <c:overlap val="0"/>
        <c:axId val="41338855"/>
        <c:axId val="74757703"/>
      </c:barChart>
      <c:catAx>
        <c:axId val="4133885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4757703"/>
        <c:crosses val="autoZero"/>
        <c:auto val="1"/>
        <c:lblAlgn val="ctr"/>
        <c:lblOffset val="100"/>
        <c:noMultiLvlLbl val="0"/>
      </c:catAx>
      <c:valAx>
        <c:axId val="7475770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1338855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Opening funded debt by alternative (USD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"Opening funded debt"</c:f>
              <c:strCache>
                <c:ptCount val="1"/>
                <c:pt idx="0">
                  <c:v>Opening funded debt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Transaction!$C$22:$C$24</c:f>
              <c:strCache>
                <c:ptCount val="3"/>
                <c:pt idx="0">
                  <c:v>Retain existing facilities</c:v>
                </c:pt>
                <c:pt idx="1">
                  <c:v>Selected $635m refinancing</c:v>
                </c:pt>
                <c:pt idx="2">
                  <c:v>$650m reference refinancing</c:v>
                </c:pt>
              </c:strCache>
            </c:strRef>
          </c:cat>
          <c:val>
            <c:numRef>
              <c:f>Transaction!$D$22:$D$24</c:f>
              <c:numCache>
                <c:formatCode>\$#,##0.0;[RED]"($"#,##0.0\);\-</c:formatCode>
                <c:ptCount val="3"/>
                <c:pt idx="0">
                  <c:v>703.869</c:v>
                </c:pt>
                <c:pt idx="1">
                  <c:v>727.51671875</c:v>
                </c:pt>
                <c:pt idx="2">
                  <c:v>742.51671875</c:v>
                </c:pt>
              </c:numCache>
            </c:numRef>
          </c:val>
        </c:ser>
        <c:gapWidth val="150"/>
        <c:overlap val="0"/>
        <c:axId val="7428129"/>
        <c:axId val="70005333"/>
      </c:barChart>
      <c:catAx>
        <c:axId val="742812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0005333"/>
        <c:crosses val="autoZero"/>
        <c:auto val="1"/>
        <c:lblAlgn val="ctr"/>
        <c:lblOffset val="100"/>
        <c:noMultiLvlLbl val="0"/>
      </c:catAx>
      <c:valAx>
        <c:axId val="7000533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428129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Near-term usable liquidity and revolver (USD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"Usable liquidity"</c:f>
              <c:strCache>
                <c:ptCount val="1"/>
                <c:pt idx="0">
                  <c:v>Usable liquidity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Liquidity!$X$13:$X$36</c:f>
              <c:strCache>
                <c:ptCount val="24"/>
                <c:pt idx="0">
                  <c:v>Feb-26</c:v>
                </c:pt>
                <c:pt idx="1">
                  <c:v>Mar-26</c:v>
                </c:pt>
                <c:pt idx="2">
                  <c:v>Apr-26</c:v>
                </c:pt>
                <c:pt idx="3">
                  <c:v>May-26</c:v>
                </c:pt>
                <c:pt idx="4">
                  <c:v>Jun-26</c:v>
                </c:pt>
                <c:pt idx="5">
                  <c:v>Jul-26</c:v>
                </c:pt>
                <c:pt idx="6">
                  <c:v>Aug-26</c:v>
                </c:pt>
                <c:pt idx="7">
                  <c:v>Sep-26</c:v>
                </c:pt>
                <c:pt idx="8">
                  <c:v>Oct-26</c:v>
                </c:pt>
                <c:pt idx="9">
                  <c:v>Nov-26</c:v>
                </c:pt>
                <c:pt idx="10">
                  <c:v>Dec-26</c:v>
                </c:pt>
                <c:pt idx="11">
                  <c:v>Jan-27</c:v>
                </c:pt>
                <c:pt idx="12">
                  <c:v>Feb-27</c:v>
                </c:pt>
                <c:pt idx="13">
                  <c:v>Mar-27</c:v>
                </c:pt>
                <c:pt idx="14">
                  <c:v>Apr-27</c:v>
                </c:pt>
                <c:pt idx="15">
                  <c:v>May-27</c:v>
                </c:pt>
                <c:pt idx="16">
                  <c:v>Jun-27</c:v>
                </c:pt>
                <c:pt idx="17">
                  <c:v>Jul-27</c:v>
                </c:pt>
                <c:pt idx="18">
                  <c:v>Aug-27</c:v>
                </c:pt>
                <c:pt idx="19">
                  <c:v>Sep-27</c:v>
                </c:pt>
                <c:pt idx="20">
                  <c:v>Oct-27</c:v>
                </c:pt>
                <c:pt idx="21">
                  <c:v>Nov-27</c:v>
                </c:pt>
                <c:pt idx="22">
                  <c:v>Dec-27</c:v>
                </c:pt>
                <c:pt idx="23">
                  <c:v>Jan-28</c:v>
                </c:pt>
              </c:strCache>
            </c:strRef>
          </c:cat>
          <c:val>
            <c:numRef>
              <c:f>Liquidity!$Q$13:$Q$36</c:f>
              <c:numCache>
                <c:formatCode>\$#,##0.0;[RED]"($"#,##0.0\);\-</c:formatCode>
                <c:ptCount val="24"/>
                <c:pt idx="0">
                  <c:v>270.341345383776</c:v>
                </c:pt>
                <c:pt idx="1">
                  <c:v>276.815760166085</c:v>
                </c:pt>
                <c:pt idx="2">
                  <c:v>271.419469673012</c:v>
                </c:pt>
                <c:pt idx="3">
                  <c:v>277.931662654603</c:v>
                </c:pt>
                <c:pt idx="4">
                  <c:v>284.479607764219</c:v>
                </c:pt>
                <c:pt idx="5">
                  <c:v>279.15725128208</c:v>
                </c:pt>
                <c:pt idx="6">
                  <c:v>285.9188013123</c:v>
                </c:pt>
                <c:pt idx="7">
                  <c:v>292.717472447963</c:v>
                </c:pt>
                <c:pt idx="8">
                  <c:v>287.647218485012</c:v>
                </c:pt>
                <c:pt idx="9">
                  <c:v>287.253268847637</c:v>
                </c:pt>
                <c:pt idx="10">
                  <c:v>286.857156415347</c:v>
                </c:pt>
                <c:pt idx="11">
                  <c:v>274.552619314336</c:v>
                </c:pt>
                <c:pt idx="12">
                  <c:v>281.597370492612</c:v>
                </c:pt>
                <c:pt idx="13">
                  <c:v>288.680797558833</c:v>
                </c:pt>
                <c:pt idx="14">
                  <c:v>283.896862844744</c:v>
                </c:pt>
                <c:pt idx="15">
                  <c:v>290.793204485988</c:v>
                </c:pt>
                <c:pt idx="16">
                  <c:v>297.716655965196</c:v>
                </c:pt>
                <c:pt idx="17">
                  <c:v>292.771867393489</c:v>
                </c:pt>
                <c:pt idx="18">
                  <c:v>299.906738723819</c:v>
                </c:pt>
                <c:pt idx="19">
                  <c:v>307.04442456716</c:v>
                </c:pt>
                <c:pt idx="20">
                  <c:v>298.054226884938</c:v>
                </c:pt>
                <c:pt idx="21">
                  <c:v>298.079033860765</c:v>
                </c:pt>
                <c:pt idx="22">
                  <c:v>298.103840836593</c:v>
                </c:pt>
                <c:pt idx="23">
                  <c:v>286.234280013333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"Revolver"</c:f>
              <c:strCache>
                <c:ptCount val="1"/>
                <c:pt idx="0">
                  <c:v>Revolver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Liquidity!$X$13:$X$36</c:f>
              <c:strCache>
                <c:ptCount val="24"/>
                <c:pt idx="0">
                  <c:v>Feb-26</c:v>
                </c:pt>
                <c:pt idx="1">
                  <c:v>Mar-26</c:v>
                </c:pt>
                <c:pt idx="2">
                  <c:v>Apr-26</c:v>
                </c:pt>
                <c:pt idx="3">
                  <c:v>May-26</c:v>
                </c:pt>
                <c:pt idx="4">
                  <c:v>Jun-26</c:v>
                </c:pt>
                <c:pt idx="5">
                  <c:v>Jul-26</c:v>
                </c:pt>
                <c:pt idx="6">
                  <c:v>Aug-26</c:v>
                </c:pt>
                <c:pt idx="7">
                  <c:v>Sep-26</c:v>
                </c:pt>
                <c:pt idx="8">
                  <c:v>Oct-26</c:v>
                </c:pt>
                <c:pt idx="9">
                  <c:v>Nov-26</c:v>
                </c:pt>
                <c:pt idx="10">
                  <c:v>Dec-26</c:v>
                </c:pt>
                <c:pt idx="11">
                  <c:v>Jan-27</c:v>
                </c:pt>
                <c:pt idx="12">
                  <c:v>Feb-27</c:v>
                </c:pt>
                <c:pt idx="13">
                  <c:v>Mar-27</c:v>
                </c:pt>
                <c:pt idx="14">
                  <c:v>Apr-27</c:v>
                </c:pt>
                <c:pt idx="15">
                  <c:v>May-27</c:v>
                </c:pt>
                <c:pt idx="16">
                  <c:v>Jun-27</c:v>
                </c:pt>
                <c:pt idx="17">
                  <c:v>Jul-27</c:v>
                </c:pt>
                <c:pt idx="18">
                  <c:v>Aug-27</c:v>
                </c:pt>
                <c:pt idx="19">
                  <c:v>Sep-27</c:v>
                </c:pt>
                <c:pt idx="20">
                  <c:v>Oct-27</c:v>
                </c:pt>
                <c:pt idx="21">
                  <c:v>Nov-27</c:v>
                </c:pt>
                <c:pt idx="22">
                  <c:v>Dec-27</c:v>
                </c:pt>
                <c:pt idx="23">
                  <c:v>Jan-28</c:v>
                </c:pt>
              </c:strCache>
            </c:strRef>
          </c:cat>
          <c:val>
            <c:numRef>
              <c:f>Liquidity!$O$13:$O$36</c:f>
              <c:numCache>
                <c:formatCode>\$#,##0.0;[RED]"($"#,##0.0\);\-</c:formatCode>
                <c:ptCount val="24"/>
                <c:pt idx="0">
                  <c:v>23.458654616224</c:v>
                </c:pt>
                <c:pt idx="1">
                  <c:v>16.9842398339152</c:v>
                </c:pt>
                <c:pt idx="2">
                  <c:v>22.3805303269879</c:v>
                </c:pt>
                <c:pt idx="3">
                  <c:v>15.8683373453967</c:v>
                </c:pt>
                <c:pt idx="4">
                  <c:v>9.32039223578079</c:v>
                </c:pt>
                <c:pt idx="5">
                  <c:v>14.6427487179204</c:v>
                </c:pt>
                <c:pt idx="6">
                  <c:v>7.88119868769966</c:v>
                </c:pt>
                <c:pt idx="7">
                  <c:v>1.08252755203734</c:v>
                </c:pt>
                <c:pt idx="8">
                  <c:v>6.15278151498791</c:v>
                </c:pt>
                <c:pt idx="9">
                  <c:v>6.54673115236269</c:v>
                </c:pt>
                <c:pt idx="10">
                  <c:v>6.94284358465319</c:v>
                </c:pt>
                <c:pt idx="11">
                  <c:v>19.2473806856643</c:v>
                </c:pt>
                <c:pt idx="12">
                  <c:v>12.202629507388</c:v>
                </c:pt>
                <c:pt idx="13">
                  <c:v>5.11920244116747</c:v>
                </c:pt>
                <c:pt idx="14">
                  <c:v>9.90313715525613</c:v>
                </c:pt>
                <c:pt idx="15">
                  <c:v>3.00679551401167</c:v>
                </c:pt>
                <c:pt idx="16">
                  <c:v>0</c:v>
                </c:pt>
                <c:pt idx="17">
                  <c:v>1.02813260651117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7.56571998666729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221065"/>
        <c:axId val="82267525"/>
      </c:lineChart>
      <c:catAx>
        <c:axId val="9222106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2267525"/>
        <c:crosses val="autoZero"/>
        <c:auto val="1"/>
        <c:lblAlgn val="ctr"/>
        <c:lblOffset val="100"/>
        <c:noMultiLvlLbl val="0"/>
      </c:catAx>
      <c:valAx>
        <c:axId val="8226752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2221065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Gross leverage, covenant and warning (turns)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"Gross leverage"</c:f>
              <c:strCache>
                <c:ptCount val="1"/>
                <c:pt idx="0">
                  <c:v>Gross leverage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Covenants!$AG$8:$AG$27</c:f>
              <c:strCache>
                <c:ptCount val="20"/>
                <c:pt idx="0">
                  <c:v>Jan-26</c:v>
                </c:pt>
                <c:pt idx="1">
                  <c:v>Apr-26</c:v>
                </c:pt>
                <c:pt idx="2">
                  <c:v>Jul-26</c:v>
                </c:pt>
                <c:pt idx="3">
                  <c:v>Oct-26</c:v>
                </c:pt>
                <c:pt idx="4">
                  <c:v>Jan-27</c:v>
                </c:pt>
                <c:pt idx="5">
                  <c:v>Apr-27</c:v>
                </c:pt>
                <c:pt idx="6">
                  <c:v>Jul-27</c:v>
                </c:pt>
                <c:pt idx="7">
                  <c:v>Oct-27</c:v>
                </c:pt>
                <c:pt idx="8">
                  <c:v>Jan-28</c:v>
                </c:pt>
                <c:pt idx="9">
                  <c:v>Apr-28</c:v>
                </c:pt>
                <c:pt idx="10">
                  <c:v>Jul-28</c:v>
                </c:pt>
                <c:pt idx="11">
                  <c:v>Oct-28</c:v>
                </c:pt>
                <c:pt idx="12">
                  <c:v>Jan-29</c:v>
                </c:pt>
                <c:pt idx="13">
                  <c:v>Apr-29</c:v>
                </c:pt>
                <c:pt idx="14">
                  <c:v>Jul-29</c:v>
                </c:pt>
                <c:pt idx="15">
                  <c:v>Oct-29</c:v>
                </c:pt>
                <c:pt idx="16">
                  <c:v>Jan-30</c:v>
                </c:pt>
                <c:pt idx="17">
                  <c:v>Apr-30</c:v>
                </c:pt>
                <c:pt idx="18">
                  <c:v>Jul-30</c:v>
                </c:pt>
                <c:pt idx="19">
                  <c:v>Oct-30</c:v>
                </c:pt>
              </c:strCache>
            </c:strRef>
          </c:cat>
          <c:val>
            <c:numRef>
              <c:f>Covenants!$H$8:$H$27</c:f>
              <c:numCache>
                <c:formatCode>0.00\x;[RED]\(0.00"x)";\-</c:formatCode>
                <c:ptCount val="20"/>
                <c:pt idx="0">
                  <c:v>3.22847166443304</c:v>
                </c:pt>
                <c:pt idx="3">
                  <c:v>3.00554293880446</c:v>
                </c:pt>
                <c:pt idx="4">
                  <c:v>3.0109001177451</c:v>
                </c:pt>
                <c:pt idx="5">
                  <c:v>2.91531540174512</c:v>
                </c:pt>
                <c:pt idx="6">
                  <c:v>2.82184049474365</c:v>
                </c:pt>
                <c:pt idx="7">
                  <c:v>2.744527948093</c:v>
                </c:pt>
                <c:pt idx="8">
                  <c:v>2.7250094104372</c:v>
                </c:pt>
                <c:pt idx="9">
                  <c:v>2.6374220619227</c:v>
                </c:pt>
                <c:pt idx="10">
                  <c:v>2.58387282655829</c:v>
                </c:pt>
                <c:pt idx="11">
                  <c:v>2.4766766364133</c:v>
                </c:pt>
                <c:pt idx="12">
                  <c:v>2.42311696008541</c:v>
                </c:pt>
                <c:pt idx="13">
                  <c:v>2.36956520334807</c:v>
                </c:pt>
                <c:pt idx="14">
                  <c:v>2.3160127209467</c:v>
                </c:pt>
                <c:pt idx="15">
                  <c:v>2.18192348606241</c:v>
                </c:pt>
                <c:pt idx="16">
                  <c:v>2.12836140878691</c:v>
                </c:pt>
                <c:pt idx="17">
                  <c:v>2.07480621794083</c:v>
                </c:pt>
                <c:pt idx="18">
                  <c:v>2.02125029685941</c:v>
                </c:pt>
                <c:pt idx="19">
                  <c:v>1.86324143791102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"Covenant maximum"</c:f>
              <c:strCache>
                <c:ptCount val="1"/>
                <c:pt idx="0">
                  <c:v>Covenant maximum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Covenants!$AG$8:$AG$27</c:f>
              <c:strCache>
                <c:ptCount val="20"/>
                <c:pt idx="0">
                  <c:v>Jan-26</c:v>
                </c:pt>
                <c:pt idx="1">
                  <c:v>Apr-26</c:v>
                </c:pt>
                <c:pt idx="2">
                  <c:v>Jul-26</c:v>
                </c:pt>
                <c:pt idx="3">
                  <c:v>Oct-26</c:v>
                </c:pt>
                <c:pt idx="4">
                  <c:v>Jan-27</c:v>
                </c:pt>
                <c:pt idx="5">
                  <c:v>Apr-27</c:v>
                </c:pt>
                <c:pt idx="6">
                  <c:v>Jul-27</c:v>
                </c:pt>
                <c:pt idx="7">
                  <c:v>Oct-27</c:v>
                </c:pt>
                <c:pt idx="8">
                  <c:v>Jan-28</c:v>
                </c:pt>
                <c:pt idx="9">
                  <c:v>Apr-28</c:v>
                </c:pt>
                <c:pt idx="10">
                  <c:v>Jul-28</c:v>
                </c:pt>
                <c:pt idx="11">
                  <c:v>Oct-28</c:v>
                </c:pt>
                <c:pt idx="12">
                  <c:v>Jan-29</c:v>
                </c:pt>
                <c:pt idx="13">
                  <c:v>Apr-29</c:v>
                </c:pt>
                <c:pt idx="14">
                  <c:v>Jul-29</c:v>
                </c:pt>
                <c:pt idx="15">
                  <c:v>Oct-29</c:v>
                </c:pt>
                <c:pt idx="16">
                  <c:v>Jan-30</c:v>
                </c:pt>
                <c:pt idx="17">
                  <c:v>Apr-30</c:v>
                </c:pt>
                <c:pt idx="18">
                  <c:v>Jul-30</c:v>
                </c:pt>
                <c:pt idx="19">
                  <c:v>Oct-30</c:v>
                </c:pt>
              </c:strCache>
            </c:strRef>
          </c:cat>
          <c:val>
            <c:numRef>
              <c:f>Covenants!$J$8:$J$27</c:f>
              <c:numCache>
                <c:formatCode>0.00\x;[RED]\(0.00"x)";\-</c:formatCode>
                <c:ptCount val="20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3.25</c:v>
                </c:pt>
                <c:pt idx="9">
                  <c:v>3.25</c:v>
                </c:pt>
                <c:pt idx="10">
                  <c:v>3.25</c:v>
                </c:pt>
                <c:pt idx="11">
                  <c:v>3.25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"Analyst warning"</c:f>
              <c:strCache>
                <c:ptCount val="1"/>
                <c:pt idx="0">
                  <c:v>Analyst warning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Covenants!$AG$8:$AG$27</c:f>
              <c:strCache>
                <c:ptCount val="20"/>
                <c:pt idx="0">
                  <c:v>Jan-26</c:v>
                </c:pt>
                <c:pt idx="1">
                  <c:v>Apr-26</c:v>
                </c:pt>
                <c:pt idx="2">
                  <c:v>Jul-26</c:v>
                </c:pt>
                <c:pt idx="3">
                  <c:v>Oct-26</c:v>
                </c:pt>
                <c:pt idx="4">
                  <c:v>Jan-27</c:v>
                </c:pt>
                <c:pt idx="5">
                  <c:v>Apr-27</c:v>
                </c:pt>
                <c:pt idx="6">
                  <c:v>Jul-27</c:v>
                </c:pt>
                <c:pt idx="7">
                  <c:v>Oct-27</c:v>
                </c:pt>
                <c:pt idx="8">
                  <c:v>Jan-28</c:v>
                </c:pt>
                <c:pt idx="9">
                  <c:v>Apr-28</c:v>
                </c:pt>
                <c:pt idx="10">
                  <c:v>Jul-28</c:v>
                </c:pt>
                <c:pt idx="11">
                  <c:v>Oct-28</c:v>
                </c:pt>
                <c:pt idx="12">
                  <c:v>Jan-29</c:v>
                </c:pt>
                <c:pt idx="13">
                  <c:v>Apr-29</c:v>
                </c:pt>
                <c:pt idx="14">
                  <c:v>Jul-29</c:v>
                </c:pt>
                <c:pt idx="15">
                  <c:v>Oct-29</c:v>
                </c:pt>
                <c:pt idx="16">
                  <c:v>Jan-30</c:v>
                </c:pt>
                <c:pt idx="17">
                  <c:v>Apr-30</c:v>
                </c:pt>
                <c:pt idx="18">
                  <c:v>Jul-30</c:v>
                </c:pt>
                <c:pt idx="19">
                  <c:v>Oct-30</c:v>
                </c:pt>
              </c:strCache>
            </c:strRef>
          </c:cat>
          <c:val>
            <c:numRef>
              <c:f>Covenants!$K$8:$K$27</c:f>
              <c:numCache>
                <c:formatCode>0.00\x;[RED]\(0.00"x)";\-</c:formatCode>
                <c:ptCount val="20"/>
                <c:pt idx="0">
                  <c:v>3.25</c:v>
                </c:pt>
                <c:pt idx="1">
                  <c:v>3.25</c:v>
                </c:pt>
                <c:pt idx="2">
                  <c:v>3.25</c:v>
                </c:pt>
                <c:pt idx="3">
                  <c:v>3.25</c:v>
                </c:pt>
                <c:pt idx="4">
                  <c:v>3.25</c:v>
                </c:pt>
                <c:pt idx="5">
                  <c:v>3.25</c:v>
                </c:pt>
                <c:pt idx="6">
                  <c:v>3.25</c:v>
                </c:pt>
                <c:pt idx="7">
                  <c:v>3.25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2.75</c:v>
                </c:pt>
                <c:pt idx="13">
                  <c:v>2.75</c:v>
                </c:pt>
                <c:pt idx="14">
                  <c:v>2.75</c:v>
                </c:pt>
                <c:pt idx="15">
                  <c:v>2.75</c:v>
                </c:pt>
                <c:pt idx="16">
                  <c:v>2.75</c:v>
                </c:pt>
                <c:pt idx="17">
                  <c:v>2.75</c:v>
                </c:pt>
                <c:pt idx="18">
                  <c:v>2.75</c:v>
                </c:pt>
                <c:pt idx="19">
                  <c:v>2.75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302514"/>
        <c:axId val="93067362"/>
      </c:lineChart>
      <c:catAx>
        <c:axId val="9630251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3067362"/>
        <c:crosses val="autoZero"/>
        <c:auto val="1"/>
        <c:lblAlgn val="ctr"/>
        <c:lblOffset val="100"/>
        <c:noMultiLvlLbl val="0"/>
      </c:catAx>
      <c:valAx>
        <c:axId val="9306736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6302514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28</xdr:row>
      <xdr:rowOff>0</xdr:rowOff>
    </xdr:from>
    <xdr:to>
      <xdr:col>13</xdr:col>
      <xdr:colOff>210600</xdr:colOff>
      <xdr:row>44</xdr:row>
      <xdr:rowOff>190080</xdr:rowOff>
    </xdr:to>
    <xdr:graphicFrame>
      <xdr:nvGraphicFramePr>
        <xdr:cNvPr id="1" name="Chart"/>
        <xdr:cNvGraphicFramePr/>
      </xdr:nvGraphicFramePr>
      <xdr:xfrm>
        <a:off x="6696000" y="5379120"/>
        <a:ext cx="944424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32</xdr:col>
      <xdr:colOff>0</xdr:colOff>
      <xdr:row>3</xdr:row>
      <xdr:rowOff>0</xdr:rowOff>
    </xdr:from>
    <xdr:to>
      <xdr:col>41</xdr:col>
      <xdr:colOff>610560</xdr:colOff>
      <xdr:row>16</xdr:row>
      <xdr:rowOff>137520</xdr:rowOff>
    </xdr:to>
    <xdr:graphicFrame>
      <xdr:nvGraphicFramePr>
        <xdr:cNvPr id="2" name="Chart"/>
        <xdr:cNvGraphicFramePr/>
      </xdr:nvGraphicFramePr>
      <xdr:xfrm>
        <a:off x="35642520" y="616680"/>
        <a:ext cx="6114240" cy="335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19</xdr:col>
      <xdr:colOff>610920</xdr:colOff>
      <xdr:row>17</xdr:row>
      <xdr:rowOff>189720</xdr:rowOff>
    </xdr:to>
    <xdr:graphicFrame>
      <xdr:nvGraphicFramePr>
        <xdr:cNvPr id="3" name="Chart"/>
        <xdr:cNvGraphicFramePr/>
      </xdr:nvGraphicFramePr>
      <xdr:xfrm>
        <a:off x="14144760" y="616680"/>
        <a:ext cx="4891320" cy="285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3</xdr:row>
      <xdr:rowOff>0</xdr:rowOff>
    </xdr:from>
    <xdr:to>
      <xdr:col>27</xdr:col>
      <xdr:colOff>610920</xdr:colOff>
      <xdr:row>17</xdr:row>
      <xdr:rowOff>190080</xdr:rowOff>
    </xdr:to>
    <xdr:graphicFrame>
      <xdr:nvGraphicFramePr>
        <xdr:cNvPr id="4" name="Chart"/>
        <xdr:cNvGraphicFramePr/>
      </xdr:nvGraphicFramePr>
      <xdr:xfrm>
        <a:off x="23942160" y="616680"/>
        <a:ext cx="6114240" cy="297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0</xdr:rowOff>
    </xdr:from>
    <xdr:to>
      <xdr:col>15</xdr:col>
      <xdr:colOff>610920</xdr:colOff>
      <xdr:row>19</xdr:row>
      <xdr:rowOff>189720</xdr:rowOff>
    </xdr:to>
    <xdr:graphicFrame>
      <xdr:nvGraphicFramePr>
        <xdr:cNvPr id="5" name="Chart"/>
        <xdr:cNvGraphicFramePr/>
      </xdr:nvGraphicFramePr>
      <xdr:xfrm>
        <a:off x="11395800" y="997560"/>
        <a:ext cx="4891320" cy="285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5</xdr:row>
      <xdr:rowOff>0</xdr:rowOff>
    </xdr:from>
    <xdr:to>
      <xdr:col>34</xdr:col>
      <xdr:colOff>610920</xdr:colOff>
      <xdr:row>21</xdr:row>
      <xdr:rowOff>39240</xdr:rowOff>
    </xdr:to>
    <xdr:graphicFrame>
      <xdr:nvGraphicFramePr>
        <xdr:cNvPr id="6" name="Chart"/>
        <xdr:cNvGraphicFramePr/>
      </xdr:nvGraphicFramePr>
      <xdr:xfrm>
        <a:off x="24999480" y="997560"/>
        <a:ext cx="61142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34</xdr:col>
      <xdr:colOff>0</xdr:colOff>
      <xdr:row>5</xdr:row>
      <xdr:rowOff>0</xdr:rowOff>
    </xdr:from>
    <xdr:to>
      <xdr:col>43</xdr:col>
      <xdr:colOff>610560</xdr:colOff>
      <xdr:row>21</xdr:row>
      <xdr:rowOff>39600</xdr:rowOff>
    </xdr:to>
    <xdr:graphicFrame>
      <xdr:nvGraphicFramePr>
        <xdr:cNvPr id="7" name="Chart"/>
        <xdr:cNvGraphicFramePr/>
      </xdr:nvGraphicFramePr>
      <xdr:xfrm>
        <a:off x="32611680" y="1112040"/>
        <a:ext cx="61142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hase8SourcesTable" displayName="Phase8SourcesTable" ref="A1:M61" headerRowCount="1" totalsRowCount="0" totalsRowShown="0">
  <tableColumns count="13">
    <tableColumn id="1" name="Source ID"/>
    <tableColumn id="2" name="Source type"/>
    <tableColumn id="3" name="Document"/>
    <tableColumn id="4" name="Document date"/>
    <tableColumn id="5" name="Period"/>
    <tableColumn id="6" name="Page / section"/>
    <tableColumn id="7" name="URL / path"/>
    <tableColumn id="8" name="Original units"/>
    <tableColumn id="9" name="Normalized units"/>
    <tableColumn id="10" name="Classification"/>
    <tableColumn id="11" name="Owner review"/>
    <tableColumn id="12" name="Workbook use"/>
    <tableColumn id="13" name="Limi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C2:N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42"/>
    <col collapsed="false" customWidth="true" hidden="false" outlineLevel="0" max="4" min="4" style="1" width="38"/>
    <col collapsed="false" customWidth="true" hidden="false" outlineLevel="0" max="6" min="5" style="1" width="4"/>
    <col collapsed="false" customWidth="true" hidden="false" outlineLevel="0" max="7" min="7" style="1" width="3"/>
    <col collapsed="false" customWidth="true" hidden="false" outlineLevel="0" max="8" min="8" style="1" width="28"/>
    <col collapsed="false" customWidth="true" hidden="false" outlineLevel="0" max="9" min="9" style="1" width="46"/>
    <col collapsed="false" customWidth="true" hidden="false" outlineLevel="0" max="10" min="10" style="1" width="48"/>
    <col collapsed="false" customWidth="true" hidden="false" outlineLevel="0" max="14" min="11" style="1" width="3"/>
  </cols>
  <sheetData>
    <row r="2" customFormat="false" ht="18.55" hidden="false" customHeight="false" outlineLevel="0" collapsed="false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false" outlineLevel="0" collapsed="false">
      <c r="C4" s="3" t="s">
        <v>1</v>
      </c>
      <c r="D4" s="5" t="str">
        <f aca="false">Assumptions!$D$4</f>
        <v>Base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C5" s="6" t="s">
        <v>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C7" s="7" t="s">
        <v>3</v>
      </c>
      <c r="D7" s="8"/>
      <c r="E7" s="8"/>
      <c r="F7" s="9"/>
      <c r="G7" s="3"/>
      <c r="H7" s="7" t="s">
        <v>4</v>
      </c>
      <c r="I7" s="8"/>
      <c r="J7" s="8"/>
      <c r="K7" s="8"/>
      <c r="L7" s="8"/>
      <c r="M7" s="8"/>
      <c r="N7" s="9"/>
    </row>
    <row r="8" customFormat="false" ht="15" hidden="false" customHeight="false" outlineLevel="0" collapsed="false">
      <c r="C8" s="3" t="s">
        <v>5</v>
      </c>
      <c r="D8" s="3" t="s">
        <v>6</v>
      </c>
      <c r="E8" s="3"/>
      <c r="F8" s="3"/>
      <c r="G8" s="3"/>
      <c r="H8" s="10" t="s">
        <v>7</v>
      </c>
      <c r="I8" s="11" t="s">
        <v>8</v>
      </c>
      <c r="J8" s="12" t="s">
        <v>9</v>
      </c>
      <c r="K8" s="3"/>
      <c r="L8" s="3"/>
      <c r="M8" s="3"/>
      <c r="N8" s="3"/>
    </row>
    <row r="9" customFormat="false" ht="15" hidden="false" customHeight="false" outlineLevel="0" collapsed="false">
      <c r="C9" s="3" t="s">
        <v>10</v>
      </c>
      <c r="D9" s="13" t="n">
        <v>46006</v>
      </c>
      <c r="E9" s="3"/>
      <c r="F9" s="3"/>
      <c r="G9" s="3"/>
      <c r="H9" s="3" t="s">
        <v>11</v>
      </c>
      <c r="I9" s="14" t="str">
        <f aca="false">'Scenario Comparison'!S5</f>
        <v>N/D</v>
      </c>
      <c r="J9" s="3" t="s">
        <v>12</v>
      </c>
      <c r="K9" s="3"/>
      <c r="L9" s="3"/>
      <c r="M9" s="3"/>
      <c r="N9" s="3"/>
    </row>
    <row r="10" customFormat="false" ht="15" hidden="false" customHeight="false" outlineLevel="0" collapsed="false">
      <c r="C10" s="3" t="s">
        <v>13</v>
      </c>
      <c r="D10" s="13" t="n">
        <v>46053</v>
      </c>
      <c r="E10" s="3"/>
      <c r="F10" s="3"/>
      <c r="G10" s="3"/>
      <c r="H10" s="3" t="s">
        <v>14</v>
      </c>
      <c r="I10" s="14" t="str">
        <f aca="false">'Scenario Comparison'!T5</f>
        <v>N/D</v>
      </c>
      <c r="J10" s="3" t="s">
        <v>15</v>
      </c>
      <c r="K10" s="3"/>
      <c r="L10" s="3"/>
      <c r="M10" s="3"/>
      <c r="N10" s="3"/>
    </row>
    <row r="11" customFormat="false" ht="15" hidden="false" customHeight="false" outlineLevel="0" collapsed="false">
      <c r="C11" s="3" t="s">
        <v>16</v>
      </c>
      <c r="D11" s="3" t="s">
        <v>17</v>
      </c>
      <c r="E11" s="3"/>
      <c r="F11" s="3"/>
      <c r="G11" s="3"/>
      <c r="H11" s="3" t="s">
        <v>18</v>
      </c>
      <c r="I11" s="14" t="str">
        <f aca="false">'Scenario Comparison'!U5</f>
        <v>N/D</v>
      </c>
      <c r="J11" s="3" t="s">
        <v>19</v>
      </c>
      <c r="K11" s="3"/>
      <c r="L11" s="3"/>
      <c r="M11" s="3"/>
      <c r="N11" s="3"/>
    </row>
    <row r="12" customFormat="false" ht="15" hidden="false" customHeight="false" outlineLevel="0" collapsed="false">
      <c r="C12" s="3" t="s">
        <v>20</v>
      </c>
      <c r="D12" s="15" t="n">
        <v>50</v>
      </c>
      <c r="E12" s="3"/>
      <c r="F12" s="3"/>
      <c r="G12" s="3"/>
      <c r="H12" s="3" t="s">
        <v>21</v>
      </c>
      <c r="I12" s="14" t="str">
        <f aca="false">'Scenario Comparison'!V5</f>
        <v>N/D</v>
      </c>
      <c r="J12" s="3" t="s">
        <v>22</v>
      </c>
      <c r="K12" s="3"/>
      <c r="L12" s="3"/>
      <c r="M12" s="3"/>
      <c r="N12" s="3"/>
    </row>
    <row r="13" customFormat="false" ht="15" hidden="false" customHeight="false" outlineLevel="0" collapsed="false">
      <c r="C13" s="3" t="s">
        <v>23</v>
      </c>
      <c r="D13" s="16" t="n">
        <f aca="false">Transaction!D17</f>
        <v>727.51671875</v>
      </c>
      <c r="E13" s="3"/>
      <c r="F13" s="3"/>
      <c r="G13" s="3"/>
      <c r="H13" s="3" t="s">
        <v>24</v>
      </c>
      <c r="I13" s="16" t="n">
        <f aca="false">'Scenario Comparison'!X5</f>
        <v>324.779705120148</v>
      </c>
      <c r="J13" s="3" t="s">
        <v>25</v>
      </c>
      <c r="K13" s="3"/>
      <c r="L13" s="3"/>
      <c r="M13" s="3"/>
      <c r="N13" s="3"/>
    </row>
    <row r="14" customFormat="false" ht="15" hidden="false" customHeight="false" outlineLevel="0" collapsed="false">
      <c r="C14" s="3" t="s">
        <v>26</v>
      </c>
      <c r="D14" s="17" t="n">
        <f aca="false">Transaction!D18</f>
        <v>3.22847166443304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C16" s="7" t="s">
        <v>27</v>
      </c>
      <c r="D16" s="8"/>
      <c r="E16" s="8"/>
      <c r="F16" s="9"/>
      <c r="G16" s="3"/>
      <c r="H16" s="10" t="s">
        <v>28</v>
      </c>
      <c r="I16" s="11" t="s">
        <v>29</v>
      </c>
      <c r="J16" s="12" t="s">
        <v>7</v>
      </c>
      <c r="K16" s="3"/>
      <c r="L16" s="3"/>
      <c r="M16" s="3"/>
      <c r="N16" s="3"/>
    </row>
    <row r="17" customFormat="false" ht="15" hidden="false" customHeight="false" outlineLevel="0" collapsed="false">
      <c r="C17" s="3" t="s">
        <v>30</v>
      </c>
      <c r="D17" s="16" t="n">
        <f aca="false">'Scenario Comparison'!F5</f>
        <v>190.248637027189</v>
      </c>
      <c r="E17" s="3"/>
      <c r="F17" s="3"/>
      <c r="G17" s="3"/>
      <c r="H17" s="3" t="s">
        <v>31</v>
      </c>
      <c r="I17" s="3" t="s">
        <v>32</v>
      </c>
      <c r="J17" s="3" t="s">
        <v>33</v>
      </c>
      <c r="K17" s="3"/>
      <c r="L17" s="3"/>
      <c r="M17" s="3"/>
      <c r="N17" s="3"/>
    </row>
    <row r="18" customFormat="false" ht="15" hidden="false" customHeight="false" outlineLevel="0" collapsed="false">
      <c r="C18" s="3" t="s">
        <v>34</v>
      </c>
      <c r="D18" s="16" t="n">
        <f aca="false">'Scenario Comparison'!H5</f>
        <v>794.48407033444</v>
      </c>
      <c r="E18" s="3"/>
      <c r="F18" s="3"/>
      <c r="G18" s="3"/>
      <c r="H18" s="3" t="s">
        <v>31</v>
      </c>
      <c r="I18" s="3" t="s">
        <v>35</v>
      </c>
      <c r="J18" s="3" t="s">
        <v>36</v>
      </c>
      <c r="K18" s="3"/>
      <c r="L18" s="3"/>
      <c r="M18" s="3"/>
      <c r="N18" s="3"/>
    </row>
    <row r="19" customFormat="false" ht="15" hidden="false" customHeight="false" outlineLevel="0" collapsed="false">
      <c r="C19" s="3" t="s">
        <v>37</v>
      </c>
      <c r="D19" s="16" t="n">
        <f aca="false">'Scenario Comparison'!I5</f>
        <v>640.308509979563</v>
      </c>
      <c r="E19" s="3"/>
      <c r="F19" s="3"/>
      <c r="G19" s="3"/>
      <c r="H19" s="3" t="s">
        <v>38</v>
      </c>
      <c r="I19" s="3" t="s">
        <v>39</v>
      </c>
      <c r="J19" s="3" t="s">
        <v>40</v>
      </c>
      <c r="K19" s="3"/>
      <c r="L19" s="3"/>
      <c r="M19" s="3"/>
      <c r="N19" s="3"/>
    </row>
    <row r="20" customFormat="false" ht="15" hidden="false" customHeight="false" outlineLevel="0" collapsed="false">
      <c r="C20" s="3" t="s">
        <v>41</v>
      </c>
      <c r="D20" s="16" t="n">
        <f aca="false">'Scenario Comparison'!J5</f>
        <v>167.38574634971</v>
      </c>
      <c r="E20" s="3"/>
      <c r="F20" s="3"/>
      <c r="G20" s="3"/>
      <c r="H20" s="3" t="s">
        <v>38</v>
      </c>
      <c r="I20" s="3" t="s">
        <v>42</v>
      </c>
      <c r="J20" s="3" t="s">
        <v>40</v>
      </c>
      <c r="K20" s="3"/>
      <c r="L20" s="3"/>
      <c r="M20" s="3"/>
      <c r="N20" s="3"/>
    </row>
    <row r="21" customFormat="false" ht="15" hidden="false" customHeight="false" outlineLevel="0" collapsed="false">
      <c r="C21" s="3" t="s">
        <v>43</v>
      </c>
      <c r="D21" s="16" t="n">
        <f aca="false">'Scenario Comparison'!N5</f>
        <v>263.90228125</v>
      </c>
      <c r="E21" s="3"/>
      <c r="F21" s="3"/>
      <c r="G21" s="3"/>
      <c r="H21" s="3" t="s">
        <v>44</v>
      </c>
      <c r="I21" s="3" t="s">
        <v>45</v>
      </c>
      <c r="J21" s="3" t="s">
        <v>46</v>
      </c>
      <c r="K21" s="3"/>
      <c r="L21" s="3"/>
      <c r="M21" s="3"/>
      <c r="N21" s="3"/>
    </row>
    <row r="22" customFormat="false" ht="15" hidden="false" customHeight="false" outlineLevel="0" collapsed="false">
      <c r="C22" s="3" t="s">
        <v>47</v>
      </c>
      <c r="D22" s="16" t="n">
        <f aca="false">'Scenario Comparison'!O5</f>
        <v>270.341345383776</v>
      </c>
      <c r="E22" s="3"/>
      <c r="F22" s="3"/>
      <c r="G22" s="3"/>
      <c r="H22" s="3" t="s">
        <v>44</v>
      </c>
      <c r="I22" s="3" t="s">
        <v>48</v>
      </c>
      <c r="J22" s="3" t="s">
        <v>49</v>
      </c>
      <c r="K22" s="3"/>
      <c r="L22" s="3"/>
      <c r="M22" s="3"/>
      <c r="N22" s="3"/>
    </row>
    <row r="23" customFormat="false" ht="15" hidden="false" customHeight="false" outlineLevel="0" collapsed="false">
      <c r="C23" s="3" t="s">
        <v>50</v>
      </c>
      <c r="D23" s="16" t="n">
        <f aca="false">'Scenario Comparison'!P5</f>
        <v>263.90228125</v>
      </c>
      <c r="E23" s="3"/>
      <c r="F23" s="3"/>
      <c r="G23" s="3"/>
      <c r="H23" s="3" t="s">
        <v>44</v>
      </c>
      <c r="I23" s="3" t="s">
        <v>51</v>
      </c>
      <c r="J23" s="3" t="s">
        <v>52</v>
      </c>
      <c r="K23" s="3"/>
      <c r="L23" s="3"/>
      <c r="M23" s="3"/>
      <c r="N23" s="3"/>
    </row>
    <row r="24" customFormat="false" ht="15" hidden="false" customHeight="false" outlineLevel="0" collapsed="false">
      <c r="C24" s="3" t="s">
        <v>53</v>
      </c>
      <c r="D24" s="17" t="n">
        <f aca="false">'Scenario Comparison'!Q5</f>
        <v>3.22847166443304</v>
      </c>
      <c r="E24" s="3"/>
      <c r="F24" s="3"/>
      <c r="G24" s="3"/>
      <c r="H24" s="3" t="s">
        <v>54</v>
      </c>
      <c r="I24" s="3" t="s">
        <v>55</v>
      </c>
      <c r="J24" s="3" t="s">
        <v>56</v>
      </c>
      <c r="K24" s="3"/>
      <c r="L24" s="3"/>
      <c r="M24" s="3"/>
      <c r="N24" s="3"/>
    </row>
    <row r="25" customFormat="false" ht="15" hidden="false" customHeight="false" outlineLevel="0" collapsed="false">
      <c r="C25" s="3" t="s">
        <v>57</v>
      </c>
      <c r="D25" s="17" t="n">
        <f aca="false">'Scenario Comparison'!R5</f>
        <v>5.38595814351074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C26" s="3" t="s">
        <v>58</v>
      </c>
      <c r="D26" s="3" t="s">
        <v>49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C27" s="3" t="s">
        <v>59</v>
      </c>
      <c r="D27" s="16" t="n">
        <f aca="false">'Scenario Comparison'!W5</f>
        <v>514.75370778618</v>
      </c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C28" s="3" t="s">
        <v>60</v>
      </c>
      <c r="D28" s="16" t="n">
        <f aca="false">'Scenario Comparison'!X5</f>
        <v>324.779705120148</v>
      </c>
      <c r="E28" s="3"/>
      <c r="F28" s="3"/>
      <c r="G28" s="3"/>
      <c r="H28" s="3"/>
      <c r="I28" s="3"/>
      <c r="J28" s="3"/>
      <c r="K28" s="3"/>
      <c r="L28" s="3"/>
      <c r="M28" s="3"/>
      <c r="N28" s="3"/>
    </row>
  </sheetData>
  <conditionalFormatting sqref="D26">
    <cfRule type="containsText" priority="2" operator="containsText" aboveAverage="0" equalAverage="0" bottom="0" percent="0" rank="0" text="BREACH" dxfId="0">
      <formula>NOT(ISERROR(SEARCH("BREACH",D26)))</formula>
    </cfRule>
    <cfRule type="containsText" priority="3" operator="containsText" aboveAverage="0" equalAverage="0" bottom="0" percent="0" rank="0" text="FAIL" dxfId="1">
      <formula>NOT(ISERROR(SEARCH("FAIL",D26)))</formula>
    </cfRule>
    <cfRule type="containsText" priority="4" operator="containsText" aboveAverage="0" equalAverage="0" bottom="0" percent="0" rank="0" text="WARNING" dxfId="2">
      <formula>NOT(ISERROR(SEARCH("WARNING",D26)))</formula>
    </cfRule>
    <cfRule type="containsText" priority="5" operator="containsText" aboveAverage="0" equalAverage="0" bottom="0" percent="0" rank="0" text="STALE" dxfId="3">
      <formula>NOT(ISERROR(SEARCH("STALE",D26)))</formula>
    </cfRule>
    <cfRule type="containsText" priority="6" operator="containsText" aboveAverage="0" equalAverage="0" bottom="0" percent="0" rank="0" text="N/D" dxfId="4">
      <formula>NOT(ISERROR(SEARCH("N/D",D26)))</formula>
    </cfRule>
  </conditionalFormatting>
  <conditionalFormatting sqref="I9:I12">
    <cfRule type="containsText" priority="7" operator="containsText" aboveAverage="0" equalAverage="0" bottom="0" percent="0" rank="0" text="BREACH" dxfId="5">
      <formula>NOT(ISERROR(SEARCH("BREACH",I9)))</formula>
    </cfRule>
    <cfRule type="containsText" priority="8" operator="containsText" aboveAverage="0" equalAverage="0" bottom="0" percent="0" rank="0" text="FAIL" dxfId="6">
      <formula>NOT(ISERROR(SEARCH("FAIL",I9)))</formula>
    </cfRule>
    <cfRule type="containsText" priority="9" operator="containsText" aboveAverage="0" equalAverage="0" bottom="0" percent="0" rank="0" text="WARNING" dxfId="7">
      <formula>NOT(ISERROR(SEARCH("WARNING",I9)))</formula>
    </cfRule>
    <cfRule type="containsText" priority="10" operator="containsText" aboveAverage="0" equalAverage="0" bottom="0" percent="0" rank="0" text="STALE" dxfId="8">
      <formula>NOT(ISERROR(SEARCH("STALE",I9)))</formula>
    </cfRule>
    <cfRule type="containsText" priority="11" operator="containsText" aboveAverage="0" equalAverage="0" bottom="0" percent="0" rank="0" text="N/D" dxfId="9">
      <formula>NOT(ISERROR(SEARCH("N/D",I9)))</formula>
    </cfRule>
  </conditionalFormatting>
  <conditionalFormatting sqref="J17:J24">
    <cfRule type="containsText" priority="12" operator="containsText" aboveAverage="0" equalAverage="0" bottom="0" percent="0" rank="0" text="BREACH" dxfId="10">
      <formula>NOT(ISERROR(SEARCH("BREACH",J17)))</formula>
    </cfRule>
    <cfRule type="containsText" priority="13" operator="containsText" aboveAverage="0" equalAverage="0" bottom="0" percent="0" rank="0" text="FAIL" dxfId="11">
      <formula>NOT(ISERROR(SEARCH("FAIL",J17)))</formula>
    </cfRule>
    <cfRule type="containsText" priority="14" operator="containsText" aboveAverage="0" equalAverage="0" bottom="0" percent="0" rank="0" text="WARNING" dxfId="12">
      <formula>NOT(ISERROR(SEARCH("WARNING",J17)))</formula>
    </cfRule>
    <cfRule type="containsText" priority="15" operator="containsText" aboveAverage="0" equalAverage="0" bottom="0" percent="0" rank="0" text="STALE" dxfId="13">
      <formula>NOT(ISERROR(SEARCH("STALE",J17)))</formula>
    </cfRule>
    <cfRule type="containsText" priority="16" operator="containsText" aboveAverage="0" equalAverage="0" bottom="0" percent="0" rank="0" text="N/D" dxfId="14">
      <formula>NOT(ISERROR(SEARCH("N/D",J17)))</formula>
    </cfRule>
  </conditionalFormatting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C2:BP3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34"/>
    <col collapsed="false" customWidth="true" hidden="false" outlineLevel="0" max="4" min="4" style="1" width="17"/>
    <col collapsed="false" customWidth="true" hidden="false" outlineLevel="0" max="6" min="5" style="1" width="18"/>
    <col collapsed="false" customWidth="true" hidden="false" outlineLevel="0" max="7" min="7" style="1" width="46"/>
    <col collapsed="false" customWidth="true" hidden="false" outlineLevel="0" max="8" min="8" style="1" width="22"/>
    <col collapsed="false" customWidth="true" hidden="false" outlineLevel="0" max="9" min="9" style="1" width="54"/>
    <col collapsed="false" customWidth="true" hidden="false" outlineLevel="0" max="11" min="10" style="1" width="20"/>
    <col collapsed="false" customWidth="true" hidden="false" outlineLevel="0" max="12" min="12" style="1" width="42"/>
  </cols>
  <sheetData>
    <row r="2" customFormat="false" ht="18.55" hidden="false" customHeight="false" outlineLevel="0" collapsed="false">
      <c r="C2" s="2" t="s">
        <v>61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</row>
    <row r="4" customFormat="false" ht="15" hidden="false" customHeight="false" outlineLevel="0" collapsed="false">
      <c r="C4" s="3" t="s">
        <v>1</v>
      </c>
      <c r="D4" s="18" t="s">
        <v>62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</row>
    <row r="5" customFormat="false" ht="15" hidden="false" customHeight="false" outlineLevel="0" collapsed="false">
      <c r="C5" s="3" t="s">
        <v>63</v>
      </c>
      <c r="D5" s="19" t="str">
        <f aca="false">INDEX($BE$41:$BE$49,MATCH($D$4,$BD$41:$BD$49,0))</f>
        <v>BASE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</row>
    <row r="6" customFormat="false" ht="15" hidden="false" customHeight="false" outlineLevel="0" collapsed="false">
      <c r="C6" s="3" t="s">
        <v>64</v>
      </c>
      <c r="D6" s="14" t="s">
        <v>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</row>
    <row r="7" customFormat="false" ht="15" hidden="false" customHeight="false" outlineLevel="0" collapsed="false">
      <c r="C7" s="3" t="s">
        <v>66</v>
      </c>
      <c r="D7" s="14" t="n">
        <f aca="false">ROUND(SUMPRODUCT($D$12:$D$35,ROW($D$12:$D$35))+SUMPRODUCT($L$41:$L$364,ROW($L$41:$L$364))/1000+SUMPRODUCT($N$41:$N$364,ROW($N$41:$N$364))/10000,6)</f>
        <v>1712129.815968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</row>
    <row r="8" customFormat="false" ht="15" hidden="false" customHeight="false" outlineLevel="0" collapsed="false">
      <c r="C8" s="3" t="s">
        <v>67</v>
      </c>
      <c r="D8" s="14" t="s">
        <v>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</row>
    <row r="9" customFormat="false" ht="15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</row>
    <row r="10" customFormat="false" ht="15" hidden="false" customHeight="false" outlineLevel="0" collapsed="false">
      <c r="C10" s="7" t="s">
        <v>69</v>
      </c>
      <c r="D10" s="8"/>
      <c r="E10" s="8"/>
      <c r="F10" s="8"/>
      <c r="G10" s="9"/>
      <c r="H10" s="7" t="s">
        <v>70</v>
      </c>
      <c r="I10" s="8"/>
      <c r="J10" s="8"/>
      <c r="K10" s="8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</row>
    <row r="11" customFormat="false" ht="26.85" hidden="false" customHeight="false" outlineLevel="0" collapsed="false">
      <c r="C11" s="10" t="s">
        <v>71</v>
      </c>
      <c r="D11" s="11" t="s">
        <v>72</v>
      </c>
      <c r="E11" s="11" t="s">
        <v>73</v>
      </c>
      <c r="F11" s="11" t="s">
        <v>74</v>
      </c>
      <c r="G11" s="12" t="s">
        <v>75</v>
      </c>
      <c r="H11" s="10" t="s">
        <v>76</v>
      </c>
      <c r="I11" s="11" t="s">
        <v>77</v>
      </c>
      <c r="J11" s="11" t="s">
        <v>7</v>
      </c>
      <c r="K11" s="11" t="s">
        <v>78</v>
      </c>
      <c r="L11" s="12" t="s">
        <v>79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</row>
    <row r="12" customFormat="false" ht="15" hidden="false" customHeight="false" outlineLevel="0" collapsed="false">
      <c r="C12" s="3" t="s">
        <v>80</v>
      </c>
      <c r="D12" s="20" t="n">
        <v>635</v>
      </c>
      <c r="E12" s="3" t="s">
        <v>81</v>
      </c>
      <c r="F12" s="3" t="s">
        <v>82</v>
      </c>
      <c r="G12" s="3" t="s">
        <v>83</v>
      </c>
      <c r="H12" s="14" t="s">
        <v>84</v>
      </c>
      <c r="I12" s="14" t="s">
        <v>85</v>
      </c>
      <c r="J12" s="14" t="s">
        <v>86</v>
      </c>
      <c r="K12" s="14" t="s">
        <v>87</v>
      </c>
      <c r="L12" s="14" t="s">
        <v>88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</row>
    <row r="13" customFormat="false" ht="15" hidden="false" customHeight="false" outlineLevel="0" collapsed="false">
      <c r="C13" s="3" t="s">
        <v>89</v>
      </c>
      <c r="D13" s="21" t="n">
        <v>15</v>
      </c>
      <c r="E13" s="3" t="s">
        <v>81</v>
      </c>
      <c r="F13" s="3" t="s">
        <v>90</v>
      </c>
      <c r="G13" s="3" t="s">
        <v>91</v>
      </c>
      <c r="H13" s="14" t="s">
        <v>92</v>
      </c>
      <c r="I13" s="14" t="s">
        <v>93</v>
      </c>
      <c r="J13" s="14" t="s">
        <v>86</v>
      </c>
      <c r="K13" s="14" t="s">
        <v>87</v>
      </c>
      <c r="L13" s="14" t="s">
        <v>94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</row>
    <row r="14" customFormat="false" ht="15" hidden="false" customHeight="false" outlineLevel="0" collapsed="false">
      <c r="C14" s="3" t="s">
        <v>95</v>
      </c>
      <c r="D14" s="22" t="n">
        <v>300</v>
      </c>
      <c r="E14" s="3" t="s">
        <v>81</v>
      </c>
      <c r="F14" s="3" t="s">
        <v>96</v>
      </c>
      <c r="G14" s="3" t="s">
        <v>83</v>
      </c>
      <c r="H14" s="14" t="s">
        <v>97</v>
      </c>
      <c r="I14" s="14" t="s">
        <v>98</v>
      </c>
      <c r="J14" s="14" t="s">
        <v>86</v>
      </c>
      <c r="K14" s="14" t="s">
        <v>99</v>
      </c>
      <c r="L14" s="14" t="s">
        <v>100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</row>
    <row r="15" customFormat="false" ht="15" hidden="false" customHeight="false" outlineLevel="0" collapsed="false">
      <c r="C15" s="3" t="s">
        <v>101</v>
      </c>
      <c r="D15" s="23" t="n">
        <f aca="false">679.89771875-D12-D13</f>
        <v>29.89771875</v>
      </c>
      <c r="E15" s="3" t="s">
        <v>81</v>
      </c>
      <c r="F15" s="3" t="s">
        <v>102</v>
      </c>
      <c r="G15" s="3" t="s">
        <v>103</v>
      </c>
      <c r="H15" s="14" t="s">
        <v>104</v>
      </c>
      <c r="I15" s="14" t="s">
        <v>105</v>
      </c>
      <c r="J15" s="14" t="s">
        <v>86</v>
      </c>
      <c r="K15" s="14" t="s">
        <v>87</v>
      </c>
      <c r="L15" s="14" t="s">
        <v>106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</row>
    <row r="16" customFormat="false" ht="15" hidden="false" customHeight="false" outlineLevel="0" collapsed="false">
      <c r="C16" s="3" t="s">
        <v>107</v>
      </c>
      <c r="D16" s="22" t="n">
        <v>6.2</v>
      </c>
      <c r="E16" s="3" t="s">
        <v>81</v>
      </c>
      <c r="F16" s="3" t="s">
        <v>108</v>
      </c>
      <c r="G16" s="3" t="s">
        <v>109</v>
      </c>
      <c r="H16" s="14" t="s">
        <v>110</v>
      </c>
      <c r="I16" s="14" t="s">
        <v>111</v>
      </c>
      <c r="J16" s="14" t="s">
        <v>86</v>
      </c>
      <c r="K16" s="14" t="s">
        <v>112</v>
      </c>
      <c r="L16" s="14" t="s">
        <v>113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</row>
    <row r="17" customFormat="false" ht="15" hidden="false" customHeight="false" outlineLevel="0" collapsed="false">
      <c r="C17" s="3" t="s">
        <v>114</v>
      </c>
      <c r="D17" s="22" t="n">
        <v>62.619</v>
      </c>
      <c r="E17" s="3" t="s">
        <v>81</v>
      </c>
      <c r="F17" s="3" t="s">
        <v>115</v>
      </c>
      <c r="G17" s="3" t="s">
        <v>116</v>
      </c>
      <c r="H17" s="14" t="s">
        <v>117</v>
      </c>
      <c r="I17" s="14" t="s">
        <v>118</v>
      </c>
      <c r="J17" s="14" t="s">
        <v>49</v>
      </c>
      <c r="K17" s="14" t="s">
        <v>119</v>
      </c>
      <c r="L17" s="14" t="s">
        <v>120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</row>
    <row r="18" customFormat="false" ht="15" hidden="false" customHeight="false" outlineLevel="0" collapsed="false">
      <c r="C18" s="3" t="s">
        <v>121</v>
      </c>
      <c r="D18" s="24" t="n">
        <v>0.075</v>
      </c>
      <c r="E18" s="3" t="s">
        <v>122</v>
      </c>
      <c r="F18" s="3" t="s">
        <v>123</v>
      </c>
      <c r="G18" s="3" t="s">
        <v>124</v>
      </c>
      <c r="H18" s="14" t="s">
        <v>125</v>
      </c>
      <c r="I18" s="14" t="s">
        <v>126</v>
      </c>
      <c r="J18" s="14" t="s">
        <v>127</v>
      </c>
      <c r="K18" s="14" t="s">
        <v>119</v>
      </c>
      <c r="L18" s="14" t="s">
        <v>128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</row>
    <row r="19" customFormat="false" ht="15" hidden="false" customHeight="false" outlineLevel="0" collapsed="false">
      <c r="C19" s="3" t="s">
        <v>129</v>
      </c>
      <c r="D19" s="24" t="n">
        <v>0.0657</v>
      </c>
      <c r="E19" s="3" t="s">
        <v>122</v>
      </c>
      <c r="F19" s="3" t="s">
        <v>130</v>
      </c>
      <c r="G19" s="3" t="s">
        <v>131</v>
      </c>
      <c r="H19" s="14" t="s">
        <v>132</v>
      </c>
      <c r="I19" s="14" t="s">
        <v>133</v>
      </c>
      <c r="J19" s="14" t="s">
        <v>134</v>
      </c>
      <c r="K19" s="14" t="s">
        <v>90</v>
      </c>
      <c r="L19" s="14" t="s">
        <v>135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</row>
    <row r="20" customFormat="false" ht="15" hidden="false" customHeight="false" outlineLevel="0" collapsed="false">
      <c r="C20" s="3" t="s">
        <v>136</v>
      </c>
      <c r="D20" s="24" t="n">
        <v>0</v>
      </c>
      <c r="E20" s="3" t="s">
        <v>122</v>
      </c>
      <c r="F20" s="3" t="s">
        <v>137</v>
      </c>
      <c r="G20" s="3" t="s">
        <v>138</v>
      </c>
      <c r="H20" s="14" t="s">
        <v>139</v>
      </c>
      <c r="I20" s="14" t="s">
        <v>140</v>
      </c>
      <c r="J20" s="14" t="s">
        <v>49</v>
      </c>
      <c r="K20" s="14" t="s">
        <v>141</v>
      </c>
      <c r="L20" s="14" t="s">
        <v>142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</row>
    <row r="21" customFormat="false" ht="15" hidden="false" customHeight="false" outlineLevel="0" collapsed="false">
      <c r="C21" s="3" t="s">
        <v>143</v>
      </c>
      <c r="D21" s="24" t="n">
        <v>0</v>
      </c>
      <c r="E21" s="3" t="s">
        <v>122</v>
      </c>
      <c r="F21" s="3" t="s">
        <v>137</v>
      </c>
      <c r="G21" s="3" t="s">
        <v>144</v>
      </c>
      <c r="H21" s="14" t="s">
        <v>145</v>
      </c>
      <c r="I21" s="14" t="s">
        <v>146</v>
      </c>
      <c r="J21" s="14" t="s">
        <v>46</v>
      </c>
      <c r="K21" s="14" t="s">
        <v>147</v>
      </c>
      <c r="L21" s="14" t="s">
        <v>148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</row>
    <row r="22" customFormat="false" ht="15" hidden="false" customHeight="false" outlineLevel="0" collapsed="false">
      <c r="C22" s="3" t="s">
        <v>149</v>
      </c>
      <c r="D22" s="25" t="n">
        <v>41.5</v>
      </c>
      <c r="E22" s="3" t="s">
        <v>150</v>
      </c>
      <c r="F22" s="3" t="s">
        <v>151</v>
      </c>
      <c r="G22" s="3" t="s">
        <v>152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</row>
    <row r="23" customFormat="false" ht="15" hidden="false" customHeight="false" outlineLevel="0" collapsed="false">
      <c r="C23" s="3" t="s">
        <v>153</v>
      </c>
      <c r="D23" s="25" t="n">
        <v>0</v>
      </c>
      <c r="E23" s="3" t="s">
        <v>150</v>
      </c>
      <c r="F23" s="3" t="s">
        <v>137</v>
      </c>
      <c r="G23" s="3" t="s">
        <v>138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</row>
    <row r="24" customFormat="false" ht="15" hidden="false" customHeight="false" outlineLevel="0" collapsed="false">
      <c r="C24" s="3" t="s">
        <v>154</v>
      </c>
      <c r="D24" s="22" t="n">
        <v>25</v>
      </c>
      <c r="E24" s="3" t="s">
        <v>81</v>
      </c>
      <c r="F24" s="3" t="s">
        <v>155</v>
      </c>
      <c r="G24" s="3" t="s">
        <v>156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</row>
    <row r="25" customFormat="false" ht="15" hidden="false" customHeight="false" outlineLevel="0" collapsed="false">
      <c r="C25" s="3" t="s">
        <v>157</v>
      </c>
      <c r="D25" s="22" t="n">
        <v>0</v>
      </c>
      <c r="E25" s="3" t="s">
        <v>81</v>
      </c>
      <c r="F25" s="3" t="s">
        <v>137</v>
      </c>
      <c r="G25" s="3" t="s">
        <v>138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</row>
    <row r="26" customFormat="false" ht="15" hidden="false" customHeight="false" outlineLevel="0" collapsed="false">
      <c r="C26" s="3" t="s">
        <v>158</v>
      </c>
      <c r="D26" s="24" t="n">
        <v>0.5</v>
      </c>
      <c r="E26" s="3" t="s">
        <v>122</v>
      </c>
      <c r="F26" s="3" t="s">
        <v>159</v>
      </c>
      <c r="G26" s="3" t="s">
        <v>160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</row>
    <row r="27" customFormat="false" ht="15" hidden="false" customHeight="false" outlineLevel="0" collapsed="false">
      <c r="C27" s="3" t="s">
        <v>161</v>
      </c>
      <c r="D27" s="26" t="n">
        <v>3.5</v>
      </c>
      <c r="E27" s="3" t="s">
        <v>162</v>
      </c>
      <c r="F27" s="3" t="s">
        <v>163</v>
      </c>
      <c r="G27" s="3" t="s">
        <v>164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</row>
    <row r="28" customFormat="false" ht="15" hidden="false" customHeight="false" outlineLevel="0" collapsed="false">
      <c r="C28" s="3" t="s">
        <v>165</v>
      </c>
      <c r="D28" s="26" t="n">
        <v>3.25</v>
      </c>
      <c r="E28" s="3" t="s">
        <v>162</v>
      </c>
      <c r="F28" s="3" t="s">
        <v>166</v>
      </c>
      <c r="G28" s="3" t="s">
        <v>167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</row>
    <row r="29" customFormat="false" ht="15" hidden="false" customHeight="false" outlineLevel="0" collapsed="false">
      <c r="C29" s="3" t="s">
        <v>168</v>
      </c>
      <c r="D29" s="26" t="n">
        <v>3</v>
      </c>
      <c r="E29" s="3" t="s">
        <v>162</v>
      </c>
      <c r="F29" s="3" t="s">
        <v>169</v>
      </c>
      <c r="G29" s="3" t="s">
        <v>170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</row>
    <row r="30" customFormat="false" ht="15" hidden="false" customHeight="false" outlineLevel="0" collapsed="false">
      <c r="C30" s="3" t="s">
        <v>171</v>
      </c>
      <c r="D30" s="26" t="n">
        <v>3</v>
      </c>
      <c r="E30" s="3" t="s">
        <v>162</v>
      </c>
      <c r="F30" s="3" t="s">
        <v>172</v>
      </c>
      <c r="G30" s="3" t="s">
        <v>173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</row>
    <row r="31" customFormat="false" ht="15" hidden="false" customHeight="false" outlineLevel="0" collapsed="false">
      <c r="C31" s="3" t="s">
        <v>174</v>
      </c>
      <c r="D31" s="22" t="n">
        <v>50</v>
      </c>
      <c r="E31" s="3" t="s">
        <v>81</v>
      </c>
      <c r="F31" s="3" t="s">
        <v>147</v>
      </c>
      <c r="G31" s="3" t="s">
        <v>175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</row>
    <row r="32" customFormat="false" ht="15" hidden="false" customHeight="false" outlineLevel="0" collapsed="false">
      <c r="C32" s="3" t="s">
        <v>176</v>
      </c>
      <c r="D32" s="26" t="n">
        <v>3.25</v>
      </c>
      <c r="E32" s="3" t="s">
        <v>162</v>
      </c>
      <c r="F32" s="3" t="s">
        <v>177</v>
      </c>
      <c r="G32" s="3" t="s">
        <v>178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</row>
    <row r="33" customFormat="false" ht="15" hidden="false" customHeight="false" outlineLevel="0" collapsed="false">
      <c r="C33" s="3" t="s">
        <v>179</v>
      </c>
      <c r="D33" s="26" t="n">
        <v>3.5</v>
      </c>
      <c r="E33" s="3" t="s">
        <v>162</v>
      </c>
      <c r="F33" s="3" t="s">
        <v>180</v>
      </c>
      <c r="G33" s="3" t="s">
        <v>181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</row>
    <row r="34" customFormat="false" ht="15" hidden="false" customHeight="false" outlineLevel="0" collapsed="false">
      <c r="C34" s="3" t="s">
        <v>182</v>
      </c>
      <c r="D34" s="22" t="n">
        <v>75</v>
      </c>
      <c r="E34" s="3" t="s">
        <v>81</v>
      </c>
      <c r="F34" s="3" t="s">
        <v>180</v>
      </c>
      <c r="G34" s="3" t="s">
        <v>183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</row>
    <row r="35" customFormat="false" ht="15" hidden="false" customHeight="false" outlineLevel="0" collapsed="false">
      <c r="C35" s="3" t="s">
        <v>184</v>
      </c>
      <c r="D35" s="27" t="n">
        <v>47879</v>
      </c>
      <c r="E35" s="3" t="s">
        <v>185</v>
      </c>
      <c r="F35" s="3" t="s">
        <v>186</v>
      </c>
      <c r="G35" s="3" t="s">
        <v>187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</row>
    <row r="36" customFormat="false" ht="15" hidden="false" customHeight="false" outlineLevel="0" collapsed="false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</row>
    <row r="37" customFormat="false" ht="15" hidden="false" customHeight="false" outlineLevel="0" collapsed="false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</row>
    <row r="38" customFormat="false" ht="15" hidden="false" customHeight="false" outlineLevel="0" collapsed="false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</row>
    <row r="39" customFormat="false" ht="15" hidden="false" customHeight="false" outlineLevel="0" collapsed="false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</row>
    <row r="40" customFormat="false" ht="64.9" hidden="false" customHeight="false" outlineLevel="0" collapsed="false">
      <c r="C40" s="28" t="s">
        <v>188</v>
      </c>
      <c r="D40" s="28" t="s">
        <v>189</v>
      </c>
      <c r="E40" s="28" t="s">
        <v>190</v>
      </c>
      <c r="F40" s="28" t="s">
        <v>191</v>
      </c>
      <c r="G40" s="28" t="s">
        <v>192</v>
      </c>
      <c r="H40" s="28" t="s">
        <v>193</v>
      </c>
      <c r="I40" s="28" t="s">
        <v>194</v>
      </c>
      <c r="J40" s="28" t="s">
        <v>195</v>
      </c>
      <c r="K40" s="28" t="s">
        <v>196</v>
      </c>
      <c r="L40" s="28" t="s">
        <v>197</v>
      </c>
      <c r="M40" s="28" t="s">
        <v>198</v>
      </c>
      <c r="N40" s="28" t="s">
        <v>199</v>
      </c>
      <c r="O40" s="28" t="s">
        <v>200</v>
      </c>
      <c r="P40" s="28" t="s">
        <v>201</v>
      </c>
      <c r="Q40" s="28" t="s">
        <v>202</v>
      </c>
      <c r="R40" s="28" t="s">
        <v>203</v>
      </c>
      <c r="S40" s="28" t="s">
        <v>204</v>
      </c>
      <c r="T40" s="28" t="s">
        <v>205</v>
      </c>
      <c r="U40" s="28" t="s">
        <v>206</v>
      </c>
      <c r="V40" s="28" t="s">
        <v>207</v>
      </c>
      <c r="W40" s="28" t="s">
        <v>208</v>
      </c>
      <c r="X40" s="28" t="s">
        <v>209</v>
      </c>
      <c r="Y40" s="28" t="s">
        <v>210</v>
      </c>
      <c r="Z40" s="28" t="s">
        <v>211</v>
      </c>
      <c r="AA40" s="28" t="s">
        <v>212</v>
      </c>
      <c r="AB40" s="28" t="s">
        <v>213</v>
      </c>
      <c r="AC40" s="28" t="s">
        <v>214</v>
      </c>
      <c r="AD40" s="28" t="s">
        <v>215</v>
      </c>
      <c r="AE40" s="28" t="s">
        <v>216</v>
      </c>
      <c r="AF40" s="28" t="s">
        <v>217</v>
      </c>
      <c r="AG40" s="28" t="s">
        <v>218</v>
      </c>
      <c r="AH40" s="28" t="s">
        <v>219</v>
      </c>
      <c r="AI40" s="28" t="s">
        <v>220</v>
      </c>
      <c r="AJ40" s="28" t="s">
        <v>221</v>
      </c>
      <c r="AK40" s="28" t="s">
        <v>222</v>
      </c>
      <c r="AL40" s="28" t="s">
        <v>223</v>
      </c>
      <c r="AM40" s="28" t="s">
        <v>224</v>
      </c>
      <c r="AN40" s="28" t="s">
        <v>225</v>
      </c>
      <c r="AO40" s="28" t="s">
        <v>226</v>
      </c>
      <c r="AP40" s="28" t="s">
        <v>227</v>
      </c>
      <c r="AQ40" s="28" t="s">
        <v>228</v>
      </c>
      <c r="AR40" s="28" t="s">
        <v>229</v>
      </c>
      <c r="AS40" s="28" t="s">
        <v>230</v>
      </c>
      <c r="AT40" s="28" t="s">
        <v>231</v>
      </c>
      <c r="AU40" s="28" t="s">
        <v>232</v>
      </c>
      <c r="AV40" s="28" t="s">
        <v>233</v>
      </c>
      <c r="AW40" s="28" t="s">
        <v>234</v>
      </c>
      <c r="AX40" s="28" t="s">
        <v>235</v>
      </c>
      <c r="AY40" s="28" t="s">
        <v>236</v>
      </c>
      <c r="AZ40" s="28" t="s">
        <v>237</v>
      </c>
      <c r="BA40" s="28" t="s">
        <v>238</v>
      </c>
      <c r="BB40" s="28" t="s">
        <v>239</v>
      </c>
      <c r="BC40" s="3"/>
      <c r="BD40" s="10" t="s">
        <v>188</v>
      </c>
      <c r="BE40" s="11" t="s">
        <v>189</v>
      </c>
      <c r="BF40" s="11" t="s">
        <v>240</v>
      </c>
      <c r="BG40" s="11" t="s">
        <v>241</v>
      </c>
      <c r="BH40" s="11" t="s">
        <v>242</v>
      </c>
      <c r="BI40" s="11" t="s">
        <v>243</v>
      </c>
      <c r="BJ40" s="11" t="s">
        <v>244</v>
      </c>
      <c r="BK40" s="11" t="s">
        <v>245</v>
      </c>
      <c r="BL40" s="11" t="s">
        <v>246</v>
      </c>
      <c r="BM40" s="11" t="s">
        <v>247</v>
      </c>
      <c r="BN40" s="11" t="s">
        <v>248</v>
      </c>
      <c r="BO40" s="11" t="s">
        <v>249</v>
      </c>
      <c r="BP40" s="12" t="s">
        <v>250</v>
      </c>
    </row>
    <row r="41" customFormat="false" ht="15" hidden="false" customHeight="false" outlineLevel="0" collapsed="false">
      <c r="C41" s="14" t="s">
        <v>62</v>
      </c>
      <c r="D41" s="14" t="s">
        <v>251</v>
      </c>
      <c r="E41" s="14" t="s">
        <v>252</v>
      </c>
      <c r="F41" s="14" t="s">
        <v>253</v>
      </c>
      <c r="G41" s="29" t="n">
        <v>46054</v>
      </c>
      <c r="H41" s="29" t="n">
        <v>46081</v>
      </c>
      <c r="I41" s="14" t="s">
        <v>254</v>
      </c>
      <c r="J41" s="14" t="s">
        <v>255</v>
      </c>
      <c r="K41" s="14" t="n">
        <v>28</v>
      </c>
      <c r="L41" s="16" t="n">
        <v>150.82222935</v>
      </c>
      <c r="M41" s="30" t="n">
        <v>28.8693217195837</v>
      </c>
      <c r="N41" s="16" t="n">
        <v>21.0626587311466</v>
      </c>
      <c r="O41" s="16" t="n">
        <v>-8.4900849345702</v>
      </c>
      <c r="P41" s="16" t="n">
        <v>-3.1431434491441</v>
      </c>
      <c r="Q41" s="16" t="n">
        <v>-0.0247350488854825</v>
      </c>
      <c r="R41" s="16" t="n">
        <v>-5.27877802725</v>
      </c>
      <c r="S41" s="16" t="n">
        <v>-0.233333333333333</v>
      </c>
      <c r="T41" s="16" t="n">
        <v>12.3826688725337</v>
      </c>
      <c r="U41" s="16" t="n">
        <v>25</v>
      </c>
      <c r="V41" s="16" t="n">
        <v>25</v>
      </c>
      <c r="W41" s="16" t="n">
        <v>635</v>
      </c>
      <c r="X41" s="16" t="n">
        <v>0</v>
      </c>
      <c r="Y41" s="16" t="n">
        <v>0</v>
      </c>
      <c r="Z41" s="16" t="n">
        <v>0</v>
      </c>
      <c r="AA41" s="16" t="n">
        <v>0</v>
      </c>
      <c r="AB41" s="16" t="n">
        <v>0</v>
      </c>
      <c r="AC41" s="16" t="n">
        <v>635</v>
      </c>
      <c r="AD41" s="16" t="n">
        <v>29.89771875</v>
      </c>
      <c r="AE41" s="16" t="n">
        <v>0</v>
      </c>
      <c r="AF41" s="16" t="n">
        <v>6.43906413377599</v>
      </c>
      <c r="AG41" s="16" t="n">
        <v>23.458654616224</v>
      </c>
      <c r="AH41" s="16" t="n">
        <v>3.62268807209103</v>
      </c>
      <c r="AI41" s="16" t="n">
        <v>3.62268807209103</v>
      </c>
      <c r="AJ41" s="16" t="n">
        <v>0.695916666666667</v>
      </c>
      <c r="AK41" s="16" t="n">
        <v>1.20833333333333</v>
      </c>
      <c r="AL41" s="16" t="n">
        <v>0.416666666666667</v>
      </c>
      <c r="AM41" s="16" t="n">
        <v>0</v>
      </c>
      <c r="AN41" s="16" t="n">
        <v>721.077654616224</v>
      </c>
      <c r="AO41" s="16" t="n">
        <v>270.341345383776</v>
      </c>
      <c r="AP41" s="16" t="n">
        <v>23.458654616224</v>
      </c>
      <c r="AQ41" s="14" t="n">
        <v>270.341345383776</v>
      </c>
      <c r="AR41" s="14" t="s">
        <v>256</v>
      </c>
      <c r="AS41" s="29"/>
      <c r="AT41" s="14"/>
      <c r="AU41" s="17"/>
      <c r="AV41" s="17"/>
      <c r="AW41" s="16" t="n">
        <v>0</v>
      </c>
      <c r="AX41" s="14" t="s">
        <v>257</v>
      </c>
      <c r="AY41" s="14" t="s">
        <v>257</v>
      </c>
      <c r="AZ41" s="14" t="s">
        <v>258</v>
      </c>
      <c r="BA41" s="14" t="s">
        <v>259</v>
      </c>
      <c r="BB41" s="14" t="s">
        <v>260</v>
      </c>
      <c r="BC41" s="3"/>
      <c r="BD41" s="14" t="s">
        <v>62</v>
      </c>
      <c r="BE41" s="14" t="s">
        <v>251</v>
      </c>
      <c r="BF41" s="29" t="s">
        <v>49</v>
      </c>
      <c r="BG41" s="29" t="s">
        <v>49</v>
      </c>
      <c r="BH41" s="29" t="s">
        <v>49</v>
      </c>
      <c r="BI41" s="29" t="s">
        <v>49</v>
      </c>
      <c r="BJ41" s="16" t="n">
        <v>514.75370778618</v>
      </c>
      <c r="BK41" s="16" t="n">
        <v>324.779705120148</v>
      </c>
      <c r="BL41" s="16" t="n">
        <v>263.90228125</v>
      </c>
      <c r="BM41" s="17" t="n">
        <v>270.341345383776</v>
      </c>
      <c r="BN41" s="17" t="n">
        <v>263.90228125</v>
      </c>
      <c r="BO41" s="14" t="n">
        <v>3.22847166443304</v>
      </c>
      <c r="BP41" s="14" t="n">
        <v>5.38595814351074</v>
      </c>
    </row>
    <row r="42" customFormat="false" ht="15" hidden="false" customHeight="false" outlineLevel="0" collapsed="false">
      <c r="C42" s="14" t="s">
        <v>62</v>
      </c>
      <c r="D42" s="14" t="s">
        <v>251</v>
      </c>
      <c r="E42" s="14" t="s">
        <v>261</v>
      </c>
      <c r="F42" s="14" t="s">
        <v>253</v>
      </c>
      <c r="G42" s="29" t="n">
        <v>46082</v>
      </c>
      <c r="H42" s="29" t="n">
        <v>46112</v>
      </c>
      <c r="I42" s="14" t="s">
        <v>254</v>
      </c>
      <c r="J42" s="14" t="s">
        <v>255</v>
      </c>
      <c r="K42" s="14" t="n">
        <v>31</v>
      </c>
      <c r="L42" s="16" t="n">
        <v>150.82222935</v>
      </c>
      <c r="M42" s="30" t="n">
        <v>28.8693217195837</v>
      </c>
      <c r="N42" s="16" t="n">
        <v>21.0626587311466</v>
      </c>
      <c r="O42" s="16" t="n">
        <v>-8.4900849345702</v>
      </c>
      <c r="P42" s="16" t="n">
        <v>-3.1431434491441</v>
      </c>
      <c r="Q42" s="16" t="n">
        <v>-0.0247350488854825</v>
      </c>
      <c r="R42" s="16" t="n">
        <v>-5.27877802725</v>
      </c>
      <c r="S42" s="16" t="n">
        <v>-0.233333333333333</v>
      </c>
      <c r="T42" s="16" t="n">
        <v>12.3826688725337</v>
      </c>
      <c r="U42" s="16" t="n">
        <v>25</v>
      </c>
      <c r="V42" s="16" t="n">
        <v>25</v>
      </c>
      <c r="W42" s="16" t="n">
        <v>635</v>
      </c>
      <c r="X42" s="16" t="n">
        <v>0</v>
      </c>
      <c r="Y42" s="16" t="n">
        <v>0</v>
      </c>
      <c r="Z42" s="16" t="n">
        <v>0</v>
      </c>
      <c r="AA42" s="16" t="n">
        <v>0</v>
      </c>
      <c r="AB42" s="16" t="n">
        <v>0</v>
      </c>
      <c r="AC42" s="16" t="n">
        <v>635</v>
      </c>
      <c r="AD42" s="16" t="n">
        <v>23.458654616224</v>
      </c>
      <c r="AE42" s="16" t="n">
        <v>0</v>
      </c>
      <c r="AF42" s="16" t="n">
        <v>6.47441478230876</v>
      </c>
      <c r="AG42" s="16" t="n">
        <v>16.9842398339153</v>
      </c>
      <c r="AH42" s="16" t="n">
        <v>3.58733742355825</v>
      </c>
      <c r="AI42" s="16" t="n">
        <v>3.58733742355825</v>
      </c>
      <c r="AJ42" s="16" t="n">
        <v>0.695916666666667</v>
      </c>
      <c r="AK42" s="16" t="n">
        <v>1.20833333333333</v>
      </c>
      <c r="AL42" s="16" t="n">
        <v>0.416666666666667</v>
      </c>
      <c r="AM42" s="16" t="n">
        <v>0</v>
      </c>
      <c r="AN42" s="16" t="n">
        <v>714.603239833915</v>
      </c>
      <c r="AO42" s="16" t="n">
        <v>276.815760166085</v>
      </c>
      <c r="AP42" s="16" t="n">
        <v>16.9842398339153</v>
      </c>
      <c r="AQ42" s="14" t="n">
        <v>276.815760166085</v>
      </c>
      <c r="AR42" s="14" t="s">
        <v>256</v>
      </c>
      <c r="AS42" s="29"/>
      <c r="AT42" s="14"/>
      <c r="AU42" s="17"/>
      <c r="AV42" s="17"/>
      <c r="AW42" s="16" t="n">
        <v>0</v>
      </c>
      <c r="AX42" s="14" t="s">
        <v>257</v>
      </c>
      <c r="AY42" s="14" t="s">
        <v>257</v>
      </c>
      <c r="AZ42" s="14" t="s">
        <v>258</v>
      </c>
      <c r="BA42" s="14" t="s">
        <v>259</v>
      </c>
      <c r="BB42" s="14" t="s">
        <v>262</v>
      </c>
      <c r="BC42" s="3"/>
      <c r="BD42" s="14" t="s">
        <v>263</v>
      </c>
      <c r="BE42" s="14" t="s">
        <v>264</v>
      </c>
      <c r="BF42" s="29" t="s">
        <v>265</v>
      </c>
      <c r="BG42" s="29" t="s">
        <v>265</v>
      </c>
      <c r="BH42" s="29" t="s">
        <v>49</v>
      </c>
      <c r="BI42" s="29" t="s">
        <v>49</v>
      </c>
      <c r="BJ42" s="16"/>
      <c r="BK42" s="16"/>
      <c r="BL42" s="16" t="n">
        <v>263.90228125</v>
      </c>
      <c r="BM42" s="17" t="n">
        <v>165.078409723773</v>
      </c>
      <c r="BN42" s="17" t="n">
        <v>165.078409723773</v>
      </c>
      <c r="BO42" s="14" t="n">
        <v>4.48925019336222</v>
      </c>
      <c r="BP42" s="14" t="n">
        <v>3.21037383225653</v>
      </c>
    </row>
    <row r="43" customFormat="false" ht="15" hidden="false" customHeight="false" outlineLevel="0" collapsed="false">
      <c r="C43" s="14" t="s">
        <v>62</v>
      </c>
      <c r="D43" s="14" t="s">
        <v>251</v>
      </c>
      <c r="E43" s="14" t="s">
        <v>266</v>
      </c>
      <c r="F43" s="14" t="s">
        <v>253</v>
      </c>
      <c r="G43" s="29" t="n">
        <v>46113</v>
      </c>
      <c r="H43" s="29" t="n">
        <v>46142</v>
      </c>
      <c r="I43" s="14" t="s">
        <v>254</v>
      </c>
      <c r="J43" s="14" t="s">
        <v>255</v>
      </c>
      <c r="K43" s="14" t="n">
        <v>30</v>
      </c>
      <c r="L43" s="16" t="n">
        <v>150.82222935</v>
      </c>
      <c r="M43" s="30" t="n">
        <v>28.8693217195837</v>
      </c>
      <c r="N43" s="16" t="n">
        <v>21.0626587311466</v>
      </c>
      <c r="O43" s="16" t="n">
        <v>-8.4900849345702</v>
      </c>
      <c r="P43" s="16" t="n">
        <v>-3.1431434491441</v>
      </c>
      <c r="Q43" s="16" t="n">
        <v>-0.0247350488854825</v>
      </c>
      <c r="R43" s="16" t="n">
        <v>-5.27877802725</v>
      </c>
      <c r="S43" s="16" t="n">
        <v>-0.233333333333333</v>
      </c>
      <c r="T43" s="16" t="n">
        <v>12.3826688725337</v>
      </c>
      <c r="U43" s="16" t="n">
        <v>25</v>
      </c>
      <c r="V43" s="16" t="n">
        <v>25</v>
      </c>
      <c r="W43" s="16" t="n">
        <v>635</v>
      </c>
      <c r="X43" s="16" t="n">
        <v>11.90625</v>
      </c>
      <c r="Y43" s="16" t="n">
        <v>11.90625</v>
      </c>
      <c r="Z43" s="16" t="n">
        <v>0</v>
      </c>
      <c r="AA43" s="16" t="n">
        <v>0</v>
      </c>
      <c r="AB43" s="16" t="n">
        <v>0</v>
      </c>
      <c r="AC43" s="16" t="n">
        <v>623.09375</v>
      </c>
      <c r="AD43" s="16" t="n">
        <v>16.9842398339153</v>
      </c>
      <c r="AE43" s="16" t="n">
        <v>5.39629049307264</v>
      </c>
      <c r="AF43" s="16" t="n">
        <v>0</v>
      </c>
      <c r="AG43" s="16" t="n">
        <v>22.3805303269879</v>
      </c>
      <c r="AH43" s="16" t="n">
        <v>3.55179269893965</v>
      </c>
      <c r="AI43" s="16" t="n">
        <v>3.55179269893965</v>
      </c>
      <c r="AJ43" s="16" t="n">
        <v>0.695916666666667</v>
      </c>
      <c r="AK43" s="16" t="n">
        <v>1.20833333333333</v>
      </c>
      <c r="AL43" s="16" t="n">
        <v>0.416666666666667</v>
      </c>
      <c r="AM43" s="16" t="n">
        <v>0</v>
      </c>
      <c r="AN43" s="16" t="n">
        <v>708.093280326988</v>
      </c>
      <c r="AO43" s="16" t="n">
        <v>271.419469673012</v>
      </c>
      <c r="AP43" s="16" t="n">
        <v>22.3805303269879</v>
      </c>
      <c r="AQ43" s="14" t="n">
        <v>271.419469673012</v>
      </c>
      <c r="AR43" s="14" t="s">
        <v>256</v>
      </c>
      <c r="AS43" s="29"/>
      <c r="AT43" s="14"/>
      <c r="AU43" s="17"/>
      <c r="AV43" s="17"/>
      <c r="AW43" s="16" t="n">
        <v>0</v>
      </c>
      <c r="AX43" s="14" t="s">
        <v>257</v>
      </c>
      <c r="AY43" s="14" t="s">
        <v>257</v>
      </c>
      <c r="AZ43" s="14" t="s">
        <v>258</v>
      </c>
      <c r="BA43" s="14" t="s">
        <v>259</v>
      </c>
      <c r="BB43" s="14" t="s">
        <v>267</v>
      </c>
      <c r="BC43" s="3"/>
      <c r="BD43" s="14" t="s">
        <v>268</v>
      </c>
      <c r="BE43" s="14" t="s">
        <v>269</v>
      </c>
      <c r="BF43" s="29" t="s">
        <v>265</v>
      </c>
      <c r="BG43" s="29" t="s">
        <v>265</v>
      </c>
      <c r="BH43" s="29" t="s">
        <v>49</v>
      </c>
      <c r="BI43" s="29" t="s">
        <v>49</v>
      </c>
      <c r="BJ43" s="16"/>
      <c r="BK43" s="16"/>
      <c r="BL43" s="16" t="n">
        <v>263.90228125</v>
      </c>
      <c r="BM43" s="17" t="n">
        <v>168.936919559564</v>
      </c>
      <c r="BN43" s="17" t="n">
        <v>168.936919559564</v>
      </c>
      <c r="BO43" s="14" t="n">
        <v>4.46700610804697</v>
      </c>
      <c r="BP43" s="14" t="n">
        <v>3.21683406720596</v>
      </c>
    </row>
    <row r="44" customFormat="false" ht="15" hidden="false" customHeight="false" outlineLevel="0" collapsed="false">
      <c r="C44" s="14" t="s">
        <v>62</v>
      </c>
      <c r="D44" s="14" t="s">
        <v>251</v>
      </c>
      <c r="E44" s="14" t="s">
        <v>270</v>
      </c>
      <c r="F44" s="14" t="s">
        <v>253</v>
      </c>
      <c r="G44" s="29" t="n">
        <v>46143</v>
      </c>
      <c r="H44" s="29" t="n">
        <v>46173</v>
      </c>
      <c r="I44" s="14" t="s">
        <v>254</v>
      </c>
      <c r="J44" s="14" t="s">
        <v>271</v>
      </c>
      <c r="K44" s="14" t="n">
        <v>31</v>
      </c>
      <c r="L44" s="16" t="n">
        <v>165.086872725</v>
      </c>
      <c r="M44" s="30" t="n">
        <v>27.6901735836919</v>
      </c>
      <c r="N44" s="16" t="n">
        <v>21.1081290236343</v>
      </c>
      <c r="O44" s="16" t="n">
        <v>-9.2930702394357</v>
      </c>
      <c r="P44" s="16" t="n">
        <v>-2.95376469604966</v>
      </c>
      <c r="Q44" s="16" t="n">
        <v>-0.0270695774476574</v>
      </c>
      <c r="R44" s="16" t="n">
        <v>-5.778040545375</v>
      </c>
      <c r="S44" s="16" t="n">
        <v>0</v>
      </c>
      <c r="T44" s="16" t="n">
        <v>12.349254204762</v>
      </c>
      <c r="U44" s="16" t="n">
        <v>25</v>
      </c>
      <c r="V44" s="16" t="n">
        <v>25</v>
      </c>
      <c r="W44" s="16" t="n">
        <v>623.09375</v>
      </c>
      <c r="X44" s="16" t="n">
        <v>0</v>
      </c>
      <c r="Y44" s="16" t="n">
        <v>0</v>
      </c>
      <c r="Z44" s="16" t="n">
        <v>0</v>
      </c>
      <c r="AA44" s="16" t="n">
        <v>0</v>
      </c>
      <c r="AB44" s="16" t="n">
        <v>0</v>
      </c>
      <c r="AC44" s="16" t="n">
        <v>623.09375</v>
      </c>
      <c r="AD44" s="16" t="n">
        <v>22.3805303269879</v>
      </c>
      <c r="AE44" s="16" t="n">
        <v>0</v>
      </c>
      <c r="AF44" s="16" t="n">
        <v>6.5121929815912</v>
      </c>
      <c r="AG44" s="16" t="n">
        <v>15.8683373453967</v>
      </c>
      <c r="AH44" s="16" t="n">
        <v>3.51614455650415</v>
      </c>
      <c r="AI44" s="16" t="n">
        <v>3.51614455650415</v>
      </c>
      <c r="AJ44" s="16" t="n">
        <v>0.695916666666667</v>
      </c>
      <c r="AK44" s="16" t="n">
        <v>1.20833333333333</v>
      </c>
      <c r="AL44" s="16" t="n">
        <v>0.416666666666667</v>
      </c>
      <c r="AM44" s="16" t="n">
        <v>0</v>
      </c>
      <c r="AN44" s="16" t="n">
        <v>701.581087345397</v>
      </c>
      <c r="AO44" s="16" t="n">
        <v>277.931662654603</v>
      </c>
      <c r="AP44" s="16" t="n">
        <v>15.8683373453967</v>
      </c>
      <c r="AQ44" s="14" t="n">
        <v>277.931662654603</v>
      </c>
      <c r="AR44" s="14" t="s">
        <v>256</v>
      </c>
      <c r="AS44" s="29"/>
      <c r="AT44" s="14"/>
      <c r="AU44" s="17"/>
      <c r="AV44" s="17"/>
      <c r="AW44" s="16" t="n">
        <v>0</v>
      </c>
      <c r="AX44" s="14" t="s">
        <v>257</v>
      </c>
      <c r="AY44" s="14" t="s">
        <v>257</v>
      </c>
      <c r="AZ44" s="14" t="s">
        <v>258</v>
      </c>
      <c r="BA44" s="14" t="s">
        <v>259</v>
      </c>
      <c r="BB44" s="14" t="s">
        <v>272</v>
      </c>
      <c r="BC44" s="3"/>
      <c r="BD44" s="14" t="s">
        <v>273</v>
      </c>
      <c r="BE44" s="14" t="s">
        <v>274</v>
      </c>
      <c r="BF44" s="29" t="s">
        <v>275</v>
      </c>
      <c r="BG44" s="29" t="s">
        <v>265</v>
      </c>
      <c r="BH44" s="29" t="s">
        <v>49</v>
      </c>
      <c r="BI44" s="29" t="s">
        <v>276</v>
      </c>
      <c r="BJ44" s="16"/>
      <c r="BK44" s="16"/>
      <c r="BL44" s="16" t="n">
        <v>263.90228125</v>
      </c>
      <c r="BM44" s="17" t="n">
        <v>0</v>
      </c>
      <c r="BN44" s="17" t="n">
        <v>0</v>
      </c>
      <c r="BO44" s="14" t="n">
        <v>7.05740145964988</v>
      </c>
      <c r="BP44" s="14" t="n">
        <v>1.78193513783129</v>
      </c>
    </row>
    <row r="45" customFormat="false" ht="15" hidden="false" customHeight="false" outlineLevel="0" collapsed="false">
      <c r="C45" s="14" t="s">
        <v>62</v>
      </c>
      <c r="D45" s="14" t="s">
        <v>251</v>
      </c>
      <c r="E45" s="14" t="s">
        <v>277</v>
      </c>
      <c r="F45" s="14" t="s">
        <v>253</v>
      </c>
      <c r="G45" s="29" t="n">
        <v>46174</v>
      </c>
      <c r="H45" s="29" t="n">
        <v>46203</v>
      </c>
      <c r="I45" s="14" t="s">
        <v>254</v>
      </c>
      <c r="J45" s="14" t="s">
        <v>271</v>
      </c>
      <c r="K45" s="14" t="n">
        <v>30</v>
      </c>
      <c r="L45" s="16" t="n">
        <v>165.086872725</v>
      </c>
      <c r="M45" s="30" t="n">
        <v>27.6901735836919</v>
      </c>
      <c r="N45" s="16" t="n">
        <v>21.1081290236343</v>
      </c>
      <c r="O45" s="16" t="n">
        <v>-9.2930702394357</v>
      </c>
      <c r="P45" s="16" t="n">
        <v>-2.95376469604966</v>
      </c>
      <c r="Q45" s="16" t="n">
        <v>-0.0270695774476574</v>
      </c>
      <c r="R45" s="16" t="n">
        <v>-5.778040545375</v>
      </c>
      <c r="S45" s="16" t="n">
        <v>0</v>
      </c>
      <c r="T45" s="16" t="n">
        <v>12.349254204762</v>
      </c>
      <c r="U45" s="16" t="n">
        <v>25</v>
      </c>
      <c r="V45" s="16" t="n">
        <v>25</v>
      </c>
      <c r="W45" s="16" t="n">
        <v>623.09375</v>
      </c>
      <c r="X45" s="16" t="n">
        <v>0</v>
      </c>
      <c r="Y45" s="16" t="n">
        <v>0</v>
      </c>
      <c r="Z45" s="16" t="n">
        <v>0</v>
      </c>
      <c r="AA45" s="16" t="n">
        <v>0</v>
      </c>
      <c r="AB45" s="16" t="n">
        <v>0</v>
      </c>
      <c r="AC45" s="16" t="n">
        <v>623.09375</v>
      </c>
      <c r="AD45" s="16" t="n">
        <v>15.8683373453967</v>
      </c>
      <c r="AE45" s="16" t="n">
        <v>0</v>
      </c>
      <c r="AF45" s="16" t="n">
        <v>6.54794510961587</v>
      </c>
      <c r="AG45" s="16" t="n">
        <v>9.32039223578082</v>
      </c>
      <c r="AH45" s="16" t="n">
        <v>3.48039242847948</v>
      </c>
      <c r="AI45" s="16" t="n">
        <v>3.48039242847948</v>
      </c>
      <c r="AJ45" s="16" t="n">
        <v>0.695916666666667</v>
      </c>
      <c r="AK45" s="16" t="n">
        <v>1.20833333333333</v>
      </c>
      <c r="AL45" s="16" t="n">
        <v>0.416666666666667</v>
      </c>
      <c r="AM45" s="16" t="n">
        <v>0</v>
      </c>
      <c r="AN45" s="16" t="n">
        <v>695.033142235781</v>
      </c>
      <c r="AO45" s="16" t="n">
        <v>284.479607764219</v>
      </c>
      <c r="AP45" s="16" t="n">
        <v>9.32039223578082</v>
      </c>
      <c r="AQ45" s="14" t="n">
        <v>284.479607764219</v>
      </c>
      <c r="AR45" s="14" t="s">
        <v>256</v>
      </c>
      <c r="AS45" s="29"/>
      <c r="AT45" s="14"/>
      <c r="AU45" s="17"/>
      <c r="AV45" s="17"/>
      <c r="AW45" s="16" t="n">
        <v>0</v>
      </c>
      <c r="AX45" s="14" t="s">
        <v>257</v>
      </c>
      <c r="AY45" s="14" t="s">
        <v>257</v>
      </c>
      <c r="AZ45" s="14" t="s">
        <v>258</v>
      </c>
      <c r="BA45" s="14" t="s">
        <v>259</v>
      </c>
      <c r="BB45" s="14" t="s">
        <v>278</v>
      </c>
      <c r="BC45" s="3"/>
      <c r="BD45" s="14" t="s">
        <v>279</v>
      </c>
      <c r="BE45" s="14" t="s">
        <v>280</v>
      </c>
      <c r="BF45" s="29" t="s">
        <v>275</v>
      </c>
      <c r="BG45" s="29" t="s">
        <v>265</v>
      </c>
      <c r="BH45" s="29" t="s">
        <v>49</v>
      </c>
      <c r="BI45" s="29" t="s">
        <v>281</v>
      </c>
      <c r="BJ45" s="16"/>
      <c r="BK45" s="16"/>
      <c r="BL45" s="16" t="n">
        <v>263.90228125</v>
      </c>
      <c r="BM45" s="17" t="n">
        <v>0</v>
      </c>
      <c r="BN45" s="17" t="n">
        <v>0</v>
      </c>
      <c r="BO45" s="14" t="n">
        <v>6.95285562418031</v>
      </c>
      <c r="BP45" s="14" t="n">
        <v>1.80080804764665</v>
      </c>
    </row>
    <row r="46" customFormat="false" ht="15" hidden="false" customHeight="false" outlineLevel="0" collapsed="false">
      <c r="C46" s="14" t="s">
        <v>62</v>
      </c>
      <c r="D46" s="14" t="s">
        <v>251</v>
      </c>
      <c r="E46" s="14" t="s">
        <v>282</v>
      </c>
      <c r="F46" s="14" t="s">
        <v>253</v>
      </c>
      <c r="G46" s="29" t="n">
        <v>46204</v>
      </c>
      <c r="H46" s="29" t="n">
        <v>46234</v>
      </c>
      <c r="I46" s="14" t="s">
        <v>254</v>
      </c>
      <c r="J46" s="14" t="s">
        <v>271</v>
      </c>
      <c r="K46" s="14" t="n">
        <v>31</v>
      </c>
      <c r="L46" s="16" t="n">
        <v>165.086872725</v>
      </c>
      <c r="M46" s="30" t="n">
        <v>27.6901735836919</v>
      </c>
      <c r="N46" s="16" t="n">
        <v>21.1081290236343</v>
      </c>
      <c r="O46" s="16" t="n">
        <v>-9.2930702394357</v>
      </c>
      <c r="P46" s="16" t="n">
        <v>-2.95376469604966</v>
      </c>
      <c r="Q46" s="16" t="n">
        <v>-0.0270695774476574</v>
      </c>
      <c r="R46" s="16" t="n">
        <v>-5.778040545375</v>
      </c>
      <c r="S46" s="16" t="n">
        <v>0</v>
      </c>
      <c r="T46" s="16" t="n">
        <v>12.349254204762</v>
      </c>
      <c r="U46" s="16" t="n">
        <v>25</v>
      </c>
      <c r="V46" s="16" t="n">
        <v>25</v>
      </c>
      <c r="W46" s="16" t="n">
        <v>623.09375</v>
      </c>
      <c r="X46" s="16" t="n">
        <v>11.90625</v>
      </c>
      <c r="Y46" s="16" t="n">
        <v>11.90625</v>
      </c>
      <c r="Z46" s="16" t="n">
        <v>0</v>
      </c>
      <c r="AA46" s="16" t="n">
        <v>0</v>
      </c>
      <c r="AB46" s="16" t="n">
        <v>0</v>
      </c>
      <c r="AC46" s="16" t="n">
        <v>611.1875</v>
      </c>
      <c r="AD46" s="16" t="n">
        <v>9.32039223578082</v>
      </c>
      <c r="AE46" s="16" t="n">
        <v>5.32235648213959</v>
      </c>
      <c r="AF46" s="16" t="n">
        <v>0</v>
      </c>
      <c r="AG46" s="16" t="n">
        <v>14.6427487179204</v>
      </c>
      <c r="AH46" s="16" t="n">
        <v>3.44444402023494</v>
      </c>
      <c r="AI46" s="16" t="n">
        <v>3.44444402023494</v>
      </c>
      <c r="AJ46" s="16" t="n">
        <v>0.695916666666667</v>
      </c>
      <c r="AK46" s="16" t="n">
        <v>1.20833333333333</v>
      </c>
      <c r="AL46" s="16" t="n">
        <v>0.416666666666667</v>
      </c>
      <c r="AM46" s="16" t="n">
        <v>0</v>
      </c>
      <c r="AN46" s="16" t="n">
        <v>688.449248717921</v>
      </c>
      <c r="AO46" s="16" t="n">
        <v>279.15725128208</v>
      </c>
      <c r="AP46" s="16" t="n">
        <v>14.6427487179204</v>
      </c>
      <c r="AQ46" s="14" t="n">
        <v>279.15725128208</v>
      </c>
      <c r="AR46" s="14" t="s">
        <v>256</v>
      </c>
      <c r="AS46" s="29"/>
      <c r="AT46" s="14"/>
      <c r="AU46" s="17"/>
      <c r="AV46" s="17"/>
      <c r="AW46" s="16" t="n">
        <v>0</v>
      </c>
      <c r="AX46" s="14" t="s">
        <v>257</v>
      </c>
      <c r="AY46" s="14" t="s">
        <v>257</v>
      </c>
      <c r="AZ46" s="14" t="s">
        <v>258</v>
      </c>
      <c r="BA46" s="14" t="s">
        <v>259</v>
      </c>
      <c r="BB46" s="14" t="s">
        <v>283</v>
      </c>
      <c r="BC46" s="3"/>
      <c r="BD46" s="14" t="s">
        <v>284</v>
      </c>
      <c r="BE46" s="14" t="s">
        <v>285</v>
      </c>
      <c r="BF46" s="29" t="s">
        <v>265</v>
      </c>
      <c r="BG46" s="29" t="s">
        <v>265</v>
      </c>
      <c r="BH46" s="29" t="s">
        <v>286</v>
      </c>
      <c r="BI46" s="29" t="s">
        <v>49</v>
      </c>
      <c r="BJ46" s="16"/>
      <c r="BK46" s="16"/>
      <c r="BL46" s="16" t="n">
        <v>263.90228125</v>
      </c>
      <c r="BM46" s="17" t="n">
        <v>0</v>
      </c>
      <c r="BN46" s="17" t="n">
        <v>0</v>
      </c>
      <c r="BO46" s="14" t="n">
        <v>4.37874343319099</v>
      </c>
      <c r="BP46" s="14" t="n">
        <v>3.21817149329233</v>
      </c>
    </row>
    <row r="47" customFormat="false" ht="15" hidden="false" customHeight="false" outlineLevel="0" collapsed="false">
      <c r="C47" s="14" t="s">
        <v>62</v>
      </c>
      <c r="D47" s="14" t="s">
        <v>251</v>
      </c>
      <c r="E47" s="14" t="s">
        <v>287</v>
      </c>
      <c r="F47" s="14" t="s">
        <v>253</v>
      </c>
      <c r="G47" s="29" t="n">
        <v>46235</v>
      </c>
      <c r="H47" s="29" t="n">
        <v>46265</v>
      </c>
      <c r="I47" s="14" t="s">
        <v>254</v>
      </c>
      <c r="J47" s="14" t="s">
        <v>288</v>
      </c>
      <c r="K47" s="14" t="n">
        <v>31</v>
      </c>
      <c r="L47" s="16" t="n">
        <v>163.27791795</v>
      </c>
      <c r="M47" s="30" t="n">
        <v>27.9159174302794</v>
      </c>
      <c r="N47" s="16" t="n">
        <v>21.2454245876154</v>
      </c>
      <c r="O47" s="16" t="n">
        <v>-9.1912405572414</v>
      </c>
      <c r="P47" s="16" t="n">
        <v>-3.0135460075935</v>
      </c>
      <c r="Q47" s="16" t="n">
        <v>-0.0267738863605814</v>
      </c>
      <c r="R47" s="16" t="n">
        <v>-5.71472712825</v>
      </c>
      <c r="S47" s="16" t="n">
        <v>0</v>
      </c>
      <c r="T47" s="16" t="n">
        <v>12.4903775654113</v>
      </c>
      <c r="U47" s="16" t="n">
        <v>25</v>
      </c>
      <c r="V47" s="16" t="n">
        <v>25</v>
      </c>
      <c r="W47" s="16" t="n">
        <v>611.1875</v>
      </c>
      <c r="X47" s="16" t="n">
        <v>0</v>
      </c>
      <c r="Y47" s="16" t="n">
        <v>0</v>
      </c>
      <c r="Z47" s="16" t="n">
        <v>0</v>
      </c>
      <c r="AA47" s="16" t="n">
        <v>0</v>
      </c>
      <c r="AB47" s="16" t="n">
        <v>0</v>
      </c>
      <c r="AC47" s="16" t="n">
        <v>611.1875</v>
      </c>
      <c r="AD47" s="16" t="n">
        <v>14.6427487179204</v>
      </c>
      <c r="AE47" s="16" t="n">
        <v>0</v>
      </c>
      <c r="AF47" s="16" t="n">
        <v>6.76155003022072</v>
      </c>
      <c r="AG47" s="16" t="n">
        <v>7.88119868769969</v>
      </c>
      <c r="AH47" s="16" t="n">
        <v>3.40791086852392</v>
      </c>
      <c r="AI47" s="16" t="n">
        <v>3.40791086852392</v>
      </c>
      <c r="AJ47" s="16" t="n">
        <v>0.695916666666667</v>
      </c>
      <c r="AK47" s="16" t="n">
        <v>1.20833333333333</v>
      </c>
      <c r="AL47" s="16" t="n">
        <v>0.416666666666667</v>
      </c>
      <c r="AM47" s="16" t="n">
        <v>0</v>
      </c>
      <c r="AN47" s="16" t="n">
        <v>681.6876986877</v>
      </c>
      <c r="AO47" s="16" t="n">
        <v>285.9188013123</v>
      </c>
      <c r="AP47" s="16" t="n">
        <v>7.88119868769969</v>
      </c>
      <c r="AQ47" s="14" t="n">
        <v>285.9188013123</v>
      </c>
      <c r="AR47" s="14" t="s">
        <v>256</v>
      </c>
      <c r="AS47" s="29"/>
      <c r="AT47" s="14"/>
      <c r="AU47" s="17"/>
      <c r="AV47" s="17"/>
      <c r="AW47" s="16" t="n">
        <v>0</v>
      </c>
      <c r="AX47" s="14" t="s">
        <v>257</v>
      </c>
      <c r="AY47" s="14" t="s">
        <v>257</v>
      </c>
      <c r="AZ47" s="14" t="s">
        <v>258</v>
      </c>
      <c r="BA47" s="14" t="s">
        <v>259</v>
      </c>
      <c r="BB47" s="14" t="s">
        <v>289</v>
      </c>
      <c r="BC47" s="3"/>
      <c r="BD47" s="14" t="s">
        <v>290</v>
      </c>
      <c r="BE47" s="14" t="s">
        <v>291</v>
      </c>
      <c r="BF47" s="29" t="s">
        <v>275</v>
      </c>
      <c r="BG47" s="29" t="s">
        <v>265</v>
      </c>
      <c r="BH47" s="29" t="s">
        <v>286</v>
      </c>
      <c r="BI47" s="29" t="s">
        <v>292</v>
      </c>
      <c r="BJ47" s="16"/>
      <c r="BK47" s="16"/>
      <c r="BL47" s="16" t="n">
        <v>263.90228125</v>
      </c>
      <c r="BM47" s="17" t="n">
        <v>0</v>
      </c>
      <c r="BN47" s="17" t="n">
        <v>0</v>
      </c>
      <c r="BO47" s="14" t="n">
        <v>6.81315885843564</v>
      </c>
      <c r="BP47" s="14" t="n">
        <v>1.86198099588389</v>
      </c>
    </row>
    <row r="48" customFormat="false" ht="15" hidden="false" customHeight="false" outlineLevel="0" collapsed="false">
      <c r="C48" s="14" t="s">
        <v>62</v>
      </c>
      <c r="D48" s="14" t="s">
        <v>251</v>
      </c>
      <c r="E48" s="14" t="s">
        <v>293</v>
      </c>
      <c r="F48" s="14" t="s">
        <v>253</v>
      </c>
      <c r="G48" s="29" t="n">
        <v>46266</v>
      </c>
      <c r="H48" s="29" t="n">
        <v>46295</v>
      </c>
      <c r="I48" s="14" t="s">
        <v>254</v>
      </c>
      <c r="J48" s="14" t="s">
        <v>288</v>
      </c>
      <c r="K48" s="14" t="n">
        <v>30</v>
      </c>
      <c r="L48" s="16" t="n">
        <v>163.27791795</v>
      </c>
      <c r="M48" s="30" t="n">
        <v>27.9159174302794</v>
      </c>
      <c r="N48" s="16" t="n">
        <v>21.2454245876154</v>
      </c>
      <c r="O48" s="16" t="n">
        <v>-9.1912405572414</v>
      </c>
      <c r="P48" s="16" t="n">
        <v>-3.0135460075935</v>
      </c>
      <c r="Q48" s="16" t="n">
        <v>-0.0267738863605814</v>
      </c>
      <c r="R48" s="16" t="n">
        <v>-5.71472712825</v>
      </c>
      <c r="S48" s="16" t="n">
        <v>0</v>
      </c>
      <c r="T48" s="16" t="n">
        <v>12.4903775654113</v>
      </c>
      <c r="U48" s="16" t="n">
        <v>25</v>
      </c>
      <c r="V48" s="16" t="n">
        <v>25</v>
      </c>
      <c r="W48" s="16" t="n">
        <v>611.1875</v>
      </c>
      <c r="X48" s="16" t="n">
        <v>0</v>
      </c>
      <c r="Y48" s="16" t="n">
        <v>0</v>
      </c>
      <c r="Z48" s="16" t="n">
        <v>0</v>
      </c>
      <c r="AA48" s="16" t="n">
        <v>0</v>
      </c>
      <c r="AB48" s="16" t="n">
        <v>0</v>
      </c>
      <c r="AC48" s="16" t="n">
        <v>611.1875</v>
      </c>
      <c r="AD48" s="16" t="n">
        <v>7.88119868769969</v>
      </c>
      <c r="AE48" s="16" t="n">
        <v>0</v>
      </c>
      <c r="AF48" s="16" t="n">
        <v>6.79867113566232</v>
      </c>
      <c r="AG48" s="16" t="n">
        <v>1.08252755203737</v>
      </c>
      <c r="AH48" s="16" t="n">
        <v>3.37078976308232</v>
      </c>
      <c r="AI48" s="16" t="n">
        <v>3.37078976308232</v>
      </c>
      <c r="AJ48" s="16" t="n">
        <v>0.695916666666667</v>
      </c>
      <c r="AK48" s="16" t="n">
        <v>1.20833333333333</v>
      </c>
      <c r="AL48" s="16" t="n">
        <v>0.416666666666667</v>
      </c>
      <c r="AM48" s="16" t="n">
        <v>0</v>
      </c>
      <c r="AN48" s="16" t="n">
        <v>674.889027552037</v>
      </c>
      <c r="AO48" s="16" t="n">
        <v>292.717472447963</v>
      </c>
      <c r="AP48" s="16" t="n">
        <v>1.08252755203737</v>
      </c>
      <c r="AQ48" s="14" t="n">
        <v>292.717472447963</v>
      </c>
      <c r="AR48" s="14" t="s">
        <v>256</v>
      </c>
      <c r="AS48" s="29"/>
      <c r="AT48" s="14"/>
      <c r="AU48" s="17"/>
      <c r="AV48" s="17"/>
      <c r="AW48" s="16" t="n">
        <v>0</v>
      </c>
      <c r="AX48" s="14" t="s">
        <v>257</v>
      </c>
      <c r="AY48" s="14" t="s">
        <v>257</v>
      </c>
      <c r="AZ48" s="14" t="s">
        <v>258</v>
      </c>
      <c r="BA48" s="14" t="s">
        <v>259</v>
      </c>
      <c r="BB48" s="14" t="s">
        <v>294</v>
      </c>
      <c r="BC48" s="3"/>
      <c r="BD48" s="14" t="s">
        <v>295</v>
      </c>
      <c r="BE48" s="14" t="s">
        <v>296</v>
      </c>
      <c r="BF48" s="29" t="s">
        <v>265</v>
      </c>
      <c r="BG48" s="29" t="s">
        <v>265</v>
      </c>
      <c r="BH48" s="29" t="s">
        <v>286</v>
      </c>
      <c r="BI48" s="29" t="s">
        <v>49</v>
      </c>
      <c r="BJ48" s="16"/>
      <c r="BK48" s="16"/>
      <c r="BL48" s="16" t="n">
        <v>263.90228125</v>
      </c>
      <c r="BM48" s="17" t="n">
        <v>0</v>
      </c>
      <c r="BN48" s="17" t="n">
        <v>0</v>
      </c>
      <c r="BO48" s="14" t="n">
        <v>4.37874343319099</v>
      </c>
      <c r="BP48" s="14" t="n">
        <v>3.21817149329233</v>
      </c>
    </row>
    <row r="49" customFormat="false" ht="15" hidden="false" customHeight="false" outlineLevel="0" collapsed="false">
      <c r="C49" s="14" t="s">
        <v>62</v>
      </c>
      <c r="D49" s="14" t="s">
        <v>251</v>
      </c>
      <c r="E49" s="14" t="s">
        <v>297</v>
      </c>
      <c r="F49" s="14" t="s">
        <v>253</v>
      </c>
      <c r="G49" s="29" t="n">
        <v>46296</v>
      </c>
      <c r="H49" s="29" t="n">
        <v>46326</v>
      </c>
      <c r="I49" s="14" t="s">
        <v>254</v>
      </c>
      <c r="J49" s="14" t="s">
        <v>288</v>
      </c>
      <c r="K49" s="14" t="n">
        <v>31</v>
      </c>
      <c r="L49" s="16" t="n">
        <v>163.27791795</v>
      </c>
      <c r="M49" s="30" t="n">
        <v>27.9159174302794</v>
      </c>
      <c r="N49" s="16" t="n">
        <v>21.2454245876154</v>
      </c>
      <c r="O49" s="16" t="n">
        <v>-9.1912405572414</v>
      </c>
      <c r="P49" s="16" t="n">
        <v>-3.0135460075935</v>
      </c>
      <c r="Q49" s="16" t="n">
        <v>-0.0267738863605814</v>
      </c>
      <c r="R49" s="16" t="n">
        <v>-5.71472712825</v>
      </c>
      <c r="S49" s="16" t="n">
        <v>0</v>
      </c>
      <c r="T49" s="16" t="n">
        <v>12.4903775654113</v>
      </c>
      <c r="U49" s="16" t="n">
        <v>25</v>
      </c>
      <c r="V49" s="16" t="n">
        <v>25</v>
      </c>
      <c r="W49" s="16" t="n">
        <v>611.1875</v>
      </c>
      <c r="X49" s="16" t="n">
        <v>11.90625</v>
      </c>
      <c r="Y49" s="16" t="n">
        <v>11.90625</v>
      </c>
      <c r="Z49" s="16" t="n">
        <v>0</v>
      </c>
      <c r="AA49" s="16" t="n">
        <v>0</v>
      </c>
      <c r="AB49" s="16" t="n">
        <v>0</v>
      </c>
      <c r="AC49" s="16" t="n">
        <v>599.28125</v>
      </c>
      <c r="AD49" s="16" t="n">
        <v>1.08252755203737</v>
      </c>
      <c r="AE49" s="16" t="n">
        <v>5.07025396295057</v>
      </c>
      <c r="AF49" s="16" t="n">
        <v>0</v>
      </c>
      <c r="AG49" s="16" t="n">
        <v>6.15278151498794</v>
      </c>
      <c r="AH49" s="16" t="n">
        <v>3.3334648616952</v>
      </c>
      <c r="AI49" s="16" t="n">
        <v>3.3334648616952</v>
      </c>
      <c r="AJ49" s="16" t="n">
        <v>0.695916666666667</v>
      </c>
      <c r="AK49" s="16" t="n">
        <v>1.20833333333333</v>
      </c>
      <c r="AL49" s="16" t="n">
        <v>0.416666666666667</v>
      </c>
      <c r="AM49" s="16" t="n">
        <v>0</v>
      </c>
      <c r="AN49" s="16" t="n">
        <v>668.053031514988</v>
      </c>
      <c r="AO49" s="16" t="n">
        <v>287.647218485012</v>
      </c>
      <c r="AP49" s="16" t="n">
        <v>6.15278151498794</v>
      </c>
      <c r="AQ49" s="14" t="n">
        <v>287.647218485012</v>
      </c>
      <c r="AR49" s="14" t="s">
        <v>256</v>
      </c>
      <c r="AS49" s="29"/>
      <c r="AT49" s="14" t="n">
        <v>222.273660738557</v>
      </c>
      <c r="AU49" s="17" t="n">
        <v>3.00554293880446</v>
      </c>
      <c r="AV49" s="17"/>
      <c r="AW49" s="16" t="n">
        <v>0</v>
      </c>
      <c r="AX49" s="14" t="s">
        <v>257</v>
      </c>
      <c r="AY49" s="14" t="s">
        <v>257</v>
      </c>
      <c r="AZ49" s="14" t="s">
        <v>258</v>
      </c>
      <c r="BA49" s="14" t="s">
        <v>259</v>
      </c>
      <c r="BB49" s="14" t="s">
        <v>298</v>
      </c>
      <c r="BC49" s="3"/>
      <c r="BD49" s="14" t="s">
        <v>299</v>
      </c>
      <c r="BE49" s="14" t="s">
        <v>300</v>
      </c>
      <c r="BF49" s="29" t="s">
        <v>275</v>
      </c>
      <c r="BG49" s="29" t="s">
        <v>265</v>
      </c>
      <c r="BH49" s="29" t="s">
        <v>286</v>
      </c>
      <c r="BI49" s="29" t="s">
        <v>292</v>
      </c>
      <c r="BJ49" s="16"/>
      <c r="BK49" s="16"/>
      <c r="BL49" s="16" t="n">
        <v>263.90228125</v>
      </c>
      <c r="BM49" s="17" t="n">
        <v>0</v>
      </c>
      <c r="BN49" s="17" t="n">
        <v>0</v>
      </c>
      <c r="BO49" s="14" t="n">
        <v>6.81315885843564</v>
      </c>
      <c r="BP49" s="14" t="n">
        <v>1.86198099588389</v>
      </c>
    </row>
    <row r="50" customFormat="false" ht="15" hidden="false" customHeight="false" outlineLevel="0" collapsed="false">
      <c r="C50" s="14" t="s">
        <v>62</v>
      </c>
      <c r="D50" s="14" t="s">
        <v>251</v>
      </c>
      <c r="E50" s="14" t="s">
        <v>301</v>
      </c>
      <c r="F50" s="14" t="s">
        <v>253</v>
      </c>
      <c r="G50" s="29" t="n">
        <v>46327</v>
      </c>
      <c r="H50" s="29" t="n">
        <v>46356</v>
      </c>
      <c r="I50" s="14" t="s">
        <v>302</v>
      </c>
      <c r="J50" s="14" t="s">
        <v>303</v>
      </c>
      <c r="K50" s="14" t="n">
        <v>30</v>
      </c>
      <c r="L50" s="16" t="n">
        <v>133.341332683343</v>
      </c>
      <c r="M50" s="30" t="n">
        <v>22.9096754759419</v>
      </c>
      <c r="N50" s="16" t="n">
        <v>10.6747410285918</v>
      </c>
      <c r="O50" s="16" t="n">
        <v>-7.50605029941072</v>
      </c>
      <c r="P50" s="16" t="n">
        <v>-0.792172682295265</v>
      </c>
      <c r="Q50" s="16" t="n">
        <v>0.000508419922504923</v>
      </c>
      <c r="R50" s="16" t="n">
        <v>-4.66694664391699</v>
      </c>
      <c r="S50" s="16" t="n">
        <v>0</v>
      </c>
      <c r="T50" s="16" t="n">
        <v>5.21613012230203</v>
      </c>
      <c r="U50" s="16" t="n">
        <v>25</v>
      </c>
      <c r="V50" s="16" t="n">
        <v>25</v>
      </c>
      <c r="W50" s="16" t="n">
        <v>599.28125</v>
      </c>
      <c r="X50" s="16" t="n">
        <v>0</v>
      </c>
      <c r="Y50" s="16" t="n">
        <v>0</v>
      </c>
      <c r="Z50" s="16" t="n">
        <v>0</v>
      </c>
      <c r="AA50" s="16" t="n">
        <v>0</v>
      </c>
      <c r="AB50" s="16" t="n">
        <v>0</v>
      </c>
      <c r="AC50" s="16" t="n">
        <v>599.28125</v>
      </c>
      <c r="AD50" s="16" t="n">
        <v>6.15278151498794</v>
      </c>
      <c r="AE50" s="16" t="n">
        <v>0.393949637374784</v>
      </c>
      <c r="AF50" s="16" t="n">
        <v>0</v>
      </c>
      <c r="AG50" s="16" t="n">
        <v>6.54673115236272</v>
      </c>
      <c r="AH50" s="16" t="n">
        <v>3.31582975967681</v>
      </c>
      <c r="AI50" s="16" t="n">
        <v>3.31582975967681</v>
      </c>
      <c r="AJ50" s="16" t="n">
        <v>0.66925</v>
      </c>
      <c r="AK50" s="16" t="n">
        <v>1.20833333333333</v>
      </c>
      <c r="AL50" s="16" t="n">
        <v>0.416666666666667</v>
      </c>
      <c r="AM50" s="16" t="n">
        <v>0</v>
      </c>
      <c r="AN50" s="16" t="n">
        <v>668.446981152363</v>
      </c>
      <c r="AO50" s="16" t="n">
        <v>287.253268847637</v>
      </c>
      <c r="AP50" s="16" t="n">
        <v>6.54673115236272</v>
      </c>
      <c r="AQ50" s="14" t="n">
        <v>287.253268847637</v>
      </c>
      <c r="AR50" s="14" t="s">
        <v>256</v>
      </c>
      <c r="AS50" s="29"/>
      <c r="AT50" s="14" t="n">
        <v>222.273393863359</v>
      </c>
      <c r="AU50" s="17" t="n">
        <v>3.0073189126868</v>
      </c>
      <c r="AV50" s="17"/>
      <c r="AW50" s="16" t="n">
        <v>0</v>
      </c>
      <c r="AX50" s="14" t="s">
        <v>257</v>
      </c>
      <c r="AY50" s="14" t="s">
        <v>257</v>
      </c>
      <c r="AZ50" s="14" t="s">
        <v>258</v>
      </c>
      <c r="BA50" s="14" t="s">
        <v>259</v>
      </c>
      <c r="BB50" s="14" t="s">
        <v>304</v>
      </c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</row>
    <row r="51" customFormat="false" ht="15" hidden="false" customHeight="false" outlineLevel="0" collapsed="false">
      <c r="C51" s="14" t="s">
        <v>62</v>
      </c>
      <c r="D51" s="14" t="s">
        <v>251</v>
      </c>
      <c r="E51" s="14" t="s">
        <v>305</v>
      </c>
      <c r="F51" s="14" t="s">
        <v>253</v>
      </c>
      <c r="G51" s="29" t="n">
        <v>46357</v>
      </c>
      <c r="H51" s="29" t="n">
        <v>46387</v>
      </c>
      <c r="I51" s="14" t="s">
        <v>302</v>
      </c>
      <c r="J51" s="14" t="s">
        <v>303</v>
      </c>
      <c r="K51" s="14" t="n">
        <v>31</v>
      </c>
      <c r="L51" s="16" t="n">
        <v>133.341332683343</v>
      </c>
      <c r="M51" s="30" t="n">
        <v>22.9096754759419</v>
      </c>
      <c r="N51" s="16" t="n">
        <v>10.6747410285918</v>
      </c>
      <c r="O51" s="16" t="n">
        <v>-7.50605029941072</v>
      </c>
      <c r="P51" s="16" t="n">
        <v>-0.792172682295265</v>
      </c>
      <c r="Q51" s="16" t="n">
        <v>0.000508419922504923</v>
      </c>
      <c r="R51" s="16" t="n">
        <v>-4.66694664391699</v>
      </c>
      <c r="S51" s="16" t="n">
        <v>0</v>
      </c>
      <c r="T51" s="16" t="n">
        <v>5.21613012230203</v>
      </c>
      <c r="U51" s="16" t="n">
        <v>25</v>
      </c>
      <c r="V51" s="16" t="n">
        <v>25</v>
      </c>
      <c r="W51" s="16" t="n">
        <v>599.28125</v>
      </c>
      <c r="X51" s="16" t="n">
        <v>0</v>
      </c>
      <c r="Y51" s="16" t="n">
        <v>0</v>
      </c>
      <c r="Z51" s="16" t="n">
        <v>0</v>
      </c>
      <c r="AA51" s="16" t="n">
        <v>0</v>
      </c>
      <c r="AB51" s="16" t="n">
        <v>0</v>
      </c>
      <c r="AC51" s="16" t="n">
        <v>599.28125</v>
      </c>
      <c r="AD51" s="16" t="n">
        <v>6.54673115236272</v>
      </c>
      <c r="AE51" s="16" t="n">
        <v>0.396112432290492</v>
      </c>
      <c r="AF51" s="16" t="n">
        <v>0</v>
      </c>
      <c r="AG51" s="16" t="n">
        <v>6.94284358465322</v>
      </c>
      <c r="AH51" s="16" t="n">
        <v>3.31799255459252</v>
      </c>
      <c r="AI51" s="16" t="n">
        <v>3.31799255459252</v>
      </c>
      <c r="AJ51" s="16" t="n">
        <v>0.66925</v>
      </c>
      <c r="AK51" s="16" t="n">
        <v>1.20833333333333</v>
      </c>
      <c r="AL51" s="16" t="n">
        <v>0.416666666666667</v>
      </c>
      <c r="AM51" s="16" t="n">
        <v>0</v>
      </c>
      <c r="AN51" s="16" t="n">
        <v>668.843093584653</v>
      </c>
      <c r="AO51" s="16" t="n">
        <v>286.857156415347</v>
      </c>
      <c r="AP51" s="16" t="n">
        <v>6.94284358465322</v>
      </c>
      <c r="AQ51" s="14" t="n">
        <v>286.857156415347</v>
      </c>
      <c r="AR51" s="14" t="s">
        <v>256</v>
      </c>
      <c r="AS51" s="29"/>
      <c r="AT51" s="14" t="n">
        <v>222.273126988162</v>
      </c>
      <c r="AU51" s="17" t="n">
        <v>3.00910462118201</v>
      </c>
      <c r="AV51" s="17"/>
      <c r="AW51" s="16" t="n">
        <v>0</v>
      </c>
      <c r="AX51" s="14" t="s">
        <v>257</v>
      </c>
      <c r="AY51" s="14" t="s">
        <v>257</v>
      </c>
      <c r="AZ51" s="14" t="s">
        <v>258</v>
      </c>
      <c r="BA51" s="14" t="s">
        <v>259</v>
      </c>
      <c r="BB51" s="14" t="s">
        <v>306</v>
      </c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</row>
    <row r="52" customFormat="false" ht="15" hidden="false" customHeight="false" outlineLevel="0" collapsed="false">
      <c r="C52" s="14" t="s">
        <v>62</v>
      </c>
      <c r="D52" s="14" t="s">
        <v>251</v>
      </c>
      <c r="E52" s="14" t="s">
        <v>307</v>
      </c>
      <c r="F52" s="14" t="s">
        <v>253</v>
      </c>
      <c r="G52" s="29" t="n">
        <v>46388</v>
      </c>
      <c r="H52" s="29" t="n">
        <v>46418</v>
      </c>
      <c r="I52" s="14" t="s">
        <v>302</v>
      </c>
      <c r="J52" s="14" t="s">
        <v>303</v>
      </c>
      <c r="K52" s="14" t="n">
        <v>31</v>
      </c>
      <c r="L52" s="16" t="n">
        <v>133.341332683343</v>
      </c>
      <c r="M52" s="30" t="n">
        <v>22.9096754759419</v>
      </c>
      <c r="N52" s="16" t="n">
        <v>10.6747410285918</v>
      </c>
      <c r="O52" s="16" t="n">
        <v>-7.50605029941072</v>
      </c>
      <c r="P52" s="16" t="n">
        <v>-0.792172682295265</v>
      </c>
      <c r="Q52" s="16" t="n">
        <v>0.000508419922504923</v>
      </c>
      <c r="R52" s="16" t="n">
        <v>-4.66694664391699</v>
      </c>
      <c r="S52" s="16" t="n">
        <v>0</v>
      </c>
      <c r="T52" s="16" t="n">
        <v>5.21613012230203</v>
      </c>
      <c r="U52" s="16" t="n">
        <v>25</v>
      </c>
      <c r="V52" s="16" t="n">
        <v>25</v>
      </c>
      <c r="W52" s="16" t="n">
        <v>599.28125</v>
      </c>
      <c r="X52" s="16" t="n">
        <v>11.90625</v>
      </c>
      <c r="Y52" s="16" t="n">
        <v>11.90625</v>
      </c>
      <c r="Z52" s="16" t="n">
        <v>0</v>
      </c>
      <c r="AA52" s="16" t="n">
        <v>0</v>
      </c>
      <c r="AB52" s="16" t="n">
        <v>0</v>
      </c>
      <c r="AC52" s="16" t="n">
        <v>587.375</v>
      </c>
      <c r="AD52" s="16" t="n">
        <v>6.94284358465322</v>
      </c>
      <c r="AE52" s="16" t="n">
        <v>12.3045371010111</v>
      </c>
      <c r="AF52" s="16" t="n">
        <v>0</v>
      </c>
      <c r="AG52" s="16" t="n">
        <v>19.2473806856643</v>
      </c>
      <c r="AH52" s="16" t="n">
        <v>3.32016722331311</v>
      </c>
      <c r="AI52" s="16" t="n">
        <v>3.32016722331311</v>
      </c>
      <c r="AJ52" s="16" t="n">
        <v>0.66925</v>
      </c>
      <c r="AK52" s="16" t="n">
        <v>1.20833333333333</v>
      </c>
      <c r="AL52" s="16" t="n">
        <v>0.416666666666667</v>
      </c>
      <c r="AM52" s="16" t="n">
        <v>0</v>
      </c>
      <c r="AN52" s="16" t="n">
        <v>669.241380685664</v>
      </c>
      <c r="AO52" s="16" t="n">
        <v>274.552619314336</v>
      </c>
      <c r="AP52" s="16" t="n">
        <v>19.2473806856643</v>
      </c>
      <c r="AQ52" s="14" t="n">
        <v>274.552619314336</v>
      </c>
      <c r="AR52" s="14" t="s">
        <v>256</v>
      </c>
      <c r="AS52" s="29"/>
      <c r="AT52" s="14" t="n">
        <v>222.272860112964</v>
      </c>
      <c r="AU52" s="17" t="n">
        <v>3.0109001177451</v>
      </c>
      <c r="AV52" s="17" t="n">
        <v>5.38595814351074</v>
      </c>
      <c r="AW52" s="16" t="n">
        <v>0</v>
      </c>
      <c r="AX52" s="14" t="s">
        <v>257</v>
      </c>
      <c r="AY52" s="14" t="s">
        <v>257</v>
      </c>
      <c r="AZ52" s="14" t="s">
        <v>258</v>
      </c>
      <c r="BA52" s="14" t="s">
        <v>259</v>
      </c>
      <c r="BB52" s="14" t="s">
        <v>308</v>
      </c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</row>
    <row r="53" customFormat="false" ht="15" hidden="false" customHeight="false" outlineLevel="0" collapsed="false">
      <c r="C53" s="14" t="s">
        <v>62</v>
      </c>
      <c r="D53" s="14" t="s">
        <v>251</v>
      </c>
      <c r="E53" s="14" t="s">
        <v>309</v>
      </c>
      <c r="F53" s="14" t="s">
        <v>253</v>
      </c>
      <c r="G53" s="29" t="n">
        <v>46419</v>
      </c>
      <c r="H53" s="29" t="n">
        <v>46446</v>
      </c>
      <c r="I53" s="14" t="s">
        <v>302</v>
      </c>
      <c r="J53" s="14" t="s">
        <v>255</v>
      </c>
      <c r="K53" s="14" t="n">
        <v>28</v>
      </c>
      <c r="L53" s="16" t="n">
        <v>150.818458794266</v>
      </c>
      <c r="M53" s="30" t="n">
        <v>28.8693217195837</v>
      </c>
      <c r="N53" s="16" t="n">
        <v>21.0621321646783</v>
      </c>
      <c r="O53" s="16" t="n">
        <v>-8.48987268244684</v>
      </c>
      <c r="P53" s="16" t="n">
        <v>-3.14306487055787</v>
      </c>
      <c r="Q53" s="16" t="n">
        <v>0.00055246985969611</v>
      </c>
      <c r="R53" s="16" t="n">
        <v>-5.27864605779932</v>
      </c>
      <c r="S53" s="16" t="n">
        <v>0</v>
      </c>
      <c r="T53" s="16" t="n">
        <v>12.6409737061808</v>
      </c>
      <c r="U53" s="16" t="n">
        <v>25</v>
      </c>
      <c r="V53" s="16" t="n">
        <v>25</v>
      </c>
      <c r="W53" s="16" t="n">
        <v>587.375</v>
      </c>
      <c r="X53" s="16" t="n">
        <v>0</v>
      </c>
      <c r="Y53" s="16" t="n">
        <v>0</v>
      </c>
      <c r="Z53" s="16" t="n">
        <v>0</v>
      </c>
      <c r="AA53" s="16" t="n">
        <v>0</v>
      </c>
      <c r="AB53" s="16" t="n">
        <v>0</v>
      </c>
      <c r="AC53" s="16" t="n">
        <v>587.375</v>
      </c>
      <c r="AD53" s="16" t="n">
        <v>19.2473806856643</v>
      </c>
      <c r="AE53" s="16" t="n">
        <v>0</v>
      </c>
      <c r="AF53" s="16" t="n">
        <v>7.04475117827626</v>
      </c>
      <c r="AG53" s="16" t="n">
        <v>12.202629507388</v>
      </c>
      <c r="AH53" s="16" t="n">
        <v>3.30197252790456</v>
      </c>
      <c r="AI53" s="16" t="n">
        <v>3.30197252790456</v>
      </c>
      <c r="AJ53" s="16" t="n">
        <v>0.66925</v>
      </c>
      <c r="AK53" s="16" t="n">
        <v>1.20833333333333</v>
      </c>
      <c r="AL53" s="16" t="n">
        <v>0.416666666666667</v>
      </c>
      <c r="AM53" s="16" t="n">
        <v>0</v>
      </c>
      <c r="AN53" s="16" t="n">
        <v>662.196629507388</v>
      </c>
      <c r="AO53" s="16" t="n">
        <v>281.597370492612</v>
      </c>
      <c r="AP53" s="16" t="n">
        <v>12.202629507388</v>
      </c>
      <c r="AQ53" s="14" t="n">
        <v>281.597370492612</v>
      </c>
      <c r="AR53" s="14" t="s">
        <v>256</v>
      </c>
      <c r="AS53" s="29"/>
      <c r="AT53" s="14" t="n">
        <v>222.272333546496</v>
      </c>
      <c r="AU53" s="17" t="n">
        <v>2.97921301739007</v>
      </c>
      <c r="AV53" s="17" t="n">
        <v>5.42812928409908</v>
      </c>
      <c r="AW53" s="16" t="n">
        <v>0</v>
      </c>
      <c r="AX53" s="14" t="s">
        <v>257</v>
      </c>
      <c r="AY53" s="14" t="s">
        <v>257</v>
      </c>
      <c r="AZ53" s="14" t="s">
        <v>258</v>
      </c>
      <c r="BA53" s="14" t="s">
        <v>259</v>
      </c>
      <c r="BB53" s="14" t="s">
        <v>310</v>
      </c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</row>
    <row r="54" customFormat="false" ht="15" hidden="false" customHeight="false" outlineLevel="0" collapsed="false">
      <c r="C54" s="14" t="s">
        <v>62</v>
      </c>
      <c r="D54" s="14" t="s">
        <v>251</v>
      </c>
      <c r="E54" s="14" t="s">
        <v>311</v>
      </c>
      <c r="F54" s="14" t="s">
        <v>253</v>
      </c>
      <c r="G54" s="29" t="n">
        <v>46447</v>
      </c>
      <c r="H54" s="29" t="n">
        <v>46477</v>
      </c>
      <c r="I54" s="14" t="s">
        <v>302</v>
      </c>
      <c r="J54" s="14" t="s">
        <v>255</v>
      </c>
      <c r="K54" s="14" t="n">
        <v>31</v>
      </c>
      <c r="L54" s="16" t="n">
        <v>150.818458794266</v>
      </c>
      <c r="M54" s="30" t="n">
        <v>28.8693217195837</v>
      </c>
      <c r="N54" s="16" t="n">
        <v>21.0621321646783</v>
      </c>
      <c r="O54" s="16" t="n">
        <v>-8.48987268244684</v>
      </c>
      <c r="P54" s="16" t="n">
        <v>-3.14306487055787</v>
      </c>
      <c r="Q54" s="16" t="n">
        <v>0.00055246985969611</v>
      </c>
      <c r="R54" s="16" t="n">
        <v>-5.27864605779932</v>
      </c>
      <c r="S54" s="16" t="n">
        <v>0</v>
      </c>
      <c r="T54" s="16" t="n">
        <v>12.6409737061808</v>
      </c>
      <c r="U54" s="16" t="n">
        <v>25</v>
      </c>
      <c r="V54" s="16" t="n">
        <v>25</v>
      </c>
      <c r="W54" s="16" t="n">
        <v>587.375</v>
      </c>
      <c r="X54" s="16" t="n">
        <v>0</v>
      </c>
      <c r="Y54" s="16" t="n">
        <v>0</v>
      </c>
      <c r="Z54" s="16" t="n">
        <v>0</v>
      </c>
      <c r="AA54" s="16" t="n">
        <v>0</v>
      </c>
      <c r="AB54" s="16" t="n">
        <v>0</v>
      </c>
      <c r="AC54" s="16" t="n">
        <v>587.375</v>
      </c>
      <c r="AD54" s="16" t="n">
        <v>12.202629507388</v>
      </c>
      <c r="AE54" s="16" t="n">
        <v>0</v>
      </c>
      <c r="AF54" s="16" t="n">
        <v>7.08342706622056</v>
      </c>
      <c r="AG54" s="16" t="n">
        <v>5.11920244116747</v>
      </c>
      <c r="AH54" s="16" t="n">
        <v>3.26329663996026</v>
      </c>
      <c r="AI54" s="16" t="n">
        <v>3.26329663996026</v>
      </c>
      <c r="AJ54" s="16" t="n">
        <v>0.66925</v>
      </c>
      <c r="AK54" s="16" t="n">
        <v>1.20833333333333</v>
      </c>
      <c r="AL54" s="16" t="n">
        <v>0.416666666666667</v>
      </c>
      <c r="AM54" s="16" t="n">
        <v>0</v>
      </c>
      <c r="AN54" s="16" t="n">
        <v>655.113202441168</v>
      </c>
      <c r="AO54" s="16" t="n">
        <v>288.680797558833</v>
      </c>
      <c r="AP54" s="16" t="n">
        <v>5.11920244116747</v>
      </c>
      <c r="AQ54" s="14" t="n">
        <v>288.680797558833</v>
      </c>
      <c r="AR54" s="14" t="s">
        <v>256</v>
      </c>
      <c r="AS54" s="29"/>
      <c r="AT54" s="14" t="n">
        <v>222.271806980028</v>
      </c>
      <c r="AU54" s="17" t="n">
        <v>2.94735176422997</v>
      </c>
      <c r="AV54" s="17" t="n">
        <v>5.47141404517731</v>
      </c>
      <c r="AW54" s="16" t="n">
        <v>0</v>
      </c>
      <c r="AX54" s="14" t="s">
        <v>257</v>
      </c>
      <c r="AY54" s="14" t="s">
        <v>257</v>
      </c>
      <c r="AZ54" s="14" t="s">
        <v>258</v>
      </c>
      <c r="BA54" s="14" t="s">
        <v>259</v>
      </c>
      <c r="BB54" s="14" t="s">
        <v>312</v>
      </c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customFormat="false" ht="15" hidden="false" customHeight="false" outlineLevel="0" collapsed="false">
      <c r="C55" s="14" t="s">
        <v>62</v>
      </c>
      <c r="D55" s="14" t="s">
        <v>251</v>
      </c>
      <c r="E55" s="14" t="s">
        <v>313</v>
      </c>
      <c r="F55" s="14" t="s">
        <v>253</v>
      </c>
      <c r="G55" s="29" t="n">
        <v>46478</v>
      </c>
      <c r="H55" s="29" t="n">
        <v>46507</v>
      </c>
      <c r="I55" s="14" t="s">
        <v>302</v>
      </c>
      <c r="J55" s="14" t="s">
        <v>255</v>
      </c>
      <c r="K55" s="14" t="n">
        <v>30</v>
      </c>
      <c r="L55" s="16" t="n">
        <v>150.818458794266</v>
      </c>
      <c r="M55" s="30" t="n">
        <v>28.8693217195837</v>
      </c>
      <c r="N55" s="16" t="n">
        <v>21.0621321646783</v>
      </c>
      <c r="O55" s="16" t="n">
        <v>-8.48987268244684</v>
      </c>
      <c r="P55" s="16" t="n">
        <v>-3.14306487055787</v>
      </c>
      <c r="Q55" s="16" t="n">
        <v>0.00055246985969611</v>
      </c>
      <c r="R55" s="16" t="n">
        <v>-5.27864605779932</v>
      </c>
      <c r="S55" s="16" t="n">
        <v>0</v>
      </c>
      <c r="T55" s="16" t="n">
        <v>12.6409737061808</v>
      </c>
      <c r="U55" s="16" t="n">
        <v>25</v>
      </c>
      <c r="V55" s="16" t="n">
        <v>25</v>
      </c>
      <c r="W55" s="16" t="n">
        <v>587.375</v>
      </c>
      <c r="X55" s="16" t="n">
        <v>11.90625</v>
      </c>
      <c r="Y55" s="16" t="n">
        <v>11.90625</v>
      </c>
      <c r="Z55" s="16" t="n">
        <v>0</v>
      </c>
      <c r="AA55" s="16" t="n">
        <v>0</v>
      </c>
      <c r="AB55" s="16" t="n">
        <v>0</v>
      </c>
      <c r="AC55" s="16" t="n">
        <v>575.46875</v>
      </c>
      <c r="AD55" s="16" t="n">
        <v>5.11920244116747</v>
      </c>
      <c r="AE55" s="16" t="n">
        <v>4.78393471408866</v>
      </c>
      <c r="AF55" s="16" t="n">
        <v>0</v>
      </c>
      <c r="AG55" s="16" t="n">
        <v>9.90313715525613</v>
      </c>
      <c r="AH55" s="16" t="n">
        <v>3.22440842026948</v>
      </c>
      <c r="AI55" s="16" t="n">
        <v>3.22440842026948</v>
      </c>
      <c r="AJ55" s="16" t="n">
        <v>0.66925</v>
      </c>
      <c r="AK55" s="16" t="n">
        <v>1.20833333333333</v>
      </c>
      <c r="AL55" s="16" t="n">
        <v>0.416666666666667</v>
      </c>
      <c r="AM55" s="16" t="n">
        <v>0</v>
      </c>
      <c r="AN55" s="16" t="n">
        <v>647.990887155256</v>
      </c>
      <c r="AO55" s="16" t="n">
        <v>283.896862844744</v>
      </c>
      <c r="AP55" s="16" t="n">
        <v>9.90313715525613</v>
      </c>
      <c r="AQ55" s="14" t="n">
        <v>283.896862844744</v>
      </c>
      <c r="AR55" s="14" t="s">
        <v>256</v>
      </c>
      <c r="AS55" s="29"/>
      <c r="AT55" s="14" t="n">
        <v>222.271280413559</v>
      </c>
      <c r="AU55" s="17" t="n">
        <v>2.91531540174511</v>
      </c>
      <c r="AV55" s="17" t="n">
        <v>5.51585250601236</v>
      </c>
      <c r="AW55" s="16" t="n">
        <v>0</v>
      </c>
      <c r="AX55" s="14" t="s">
        <v>257</v>
      </c>
      <c r="AY55" s="14" t="s">
        <v>257</v>
      </c>
      <c r="AZ55" s="14" t="s">
        <v>258</v>
      </c>
      <c r="BA55" s="14" t="s">
        <v>259</v>
      </c>
      <c r="BB55" s="14" t="s">
        <v>314</v>
      </c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customFormat="false" ht="15" hidden="false" customHeight="false" outlineLevel="0" collapsed="false">
      <c r="C56" s="14" t="s">
        <v>62</v>
      </c>
      <c r="D56" s="14" t="s">
        <v>251</v>
      </c>
      <c r="E56" s="14" t="s">
        <v>315</v>
      </c>
      <c r="F56" s="14" t="s">
        <v>253</v>
      </c>
      <c r="G56" s="29" t="n">
        <v>46508</v>
      </c>
      <c r="H56" s="29" t="n">
        <v>46538</v>
      </c>
      <c r="I56" s="14" t="s">
        <v>302</v>
      </c>
      <c r="J56" s="14" t="s">
        <v>271</v>
      </c>
      <c r="K56" s="14" t="n">
        <v>31</v>
      </c>
      <c r="L56" s="16" t="n">
        <v>165.082745553182</v>
      </c>
      <c r="M56" s="30" t="n">
        <v>27.6901735836919</v>
      </c>
      <c r="N56" s="16" t="n">
        <v>21.1076013204087</v>
      </c>
      <c r="O56" s="16" t="n">
        <v>-9.29283791267971</v>
      </c>
      <c r="P56" s="16" t="n">
        <v>-2.95369085193226</v>
      </c>
      <c r="Q56" s="16" t="n">
        <v>0.000609614062517242</v>
      </c>
      <c r="R56" s="16" t="n">
        <v>-5.77789609436137</v>
      </c>
      <c r="S56" s="16" t="n">
        <v>0</v>
      </c>
      <c r="T56" s="16" t="n">
        <v>12.3766239881776</v>
      </c>
      <c r="U56" s="16" t="n">
        <v>25</v>
      </c>
      <c r="V56" s="16" t="n">
        <v>25</v>
      </c>
      <c r="W56" s="16" t="n">
        <v>575.46875</v>
      </c>
      <c r="X56" s="16" t="n">
        <v>0</v>
      </c>
      <c r="Y56" s="16" t="n">
        <v>0</v>
      </c>
      <c r="Z56" s="16" t="n">
        <v>0</v>
      </c>
      <c r="AA56" s="16" t="n">
        <v>0</v>
      </c>
      <c r="AB56" s="16" t="n">
        <v>0</v>
      </c>
      <c r="AC56" s="16" t="n">
        <v>575.46875</v>
      </c>
      <c r="AD56" s="16" t="n">
        <v>9.90313715525613</v>
      </c>
      <c r="AE56" s="16" t="n">
        <v>0</v>
      </c>
      <c r="AF56" s="16" t="n">
        <v>6.89634164124446</v>
      </c>
      <c r="AG56" s="16" t="n">
        <v>3.00679551401167</v>
      </c>
      <c r="AH56" s="16" t="n">
        <v>3.18603234693318</v>
      </c>
      <c r="AI56" s="16" t="n">
        <v>3.18603234693318</v>
      </c>
      <c r="AJ56" s="16" t="n">
        <v>0.66925</v>
      </c>
      <c r="AK56" s="16" t="n">
        <v>1.20833333333333</v>
      </c>
      <c r="AL56" s="16" t="n">
        <v>0.416666666666667</v>
      </c>
      <c r="AM56" s="16" t="n">
        <v>0</v>
      </c>
      <c r="AN56" s="16" t="n">
        <v>641.094545514012</v>
      </c>
      <c r="AO56" s="16" t="n">
        <v>290.793204485988</v>
      </c>
      <c r="AP56" s="16" t="n">
        <v>3.00679551401167</v>
      </c>
      <c r="AQ56" s="14" t="n">
        <v>290.793204485988</v>
      </c>
      <c r="AR56" s="14" t="s">
        <v>256</v>
      </c>
      <c r="AS56" s="29"/>
      <c r="AT56" s="14" t="n">
        <v>222.270752710334</v>
      </c>
      <c r="AU56" s="17" t="n">
        <v>2.88429556159147</v>
      </c>
      <c r="AV56" s="17" t="n">
        <v>5.56139848530936</v>
      </c>
      <c r="AW56" s="16" t="n">
        <v>0</v>
      </c>
      <c r="AX56" s="14" t="s">
        <v>257</v>
      </c>
      <c r="AY56" s="14" t="s">
        <v>257</v>
      </c>
      <c r="AZ56" s="14" t="s">
        <v>258</v>
      </c>
      <c r="BA56" s="14" t="s">
        <v>259</v>
      </c>
      <c r="BB56" s="14" t="s">
        <v>316</v>
      </c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customFormat="false" ht="15" hidden="false" customHeight="false" outlineLevel="0" collapsed="false">
      <c r="C57" s="14" t="s">
        <v>62</v>
      </c>
      <c r="D57" s="14" t="s">
        <v>251</v>
      </c>
      <c r="E57" s="14" t="s">
        <v>317</v>
      </c>
      <c r="F57" s="14" t="s">
        <v>253</v>
      </c>
      <c r="G57" s="29" t="n">
        <v>46539</v>
      </c>
      <c r="H57" s="29" t="n">
        <v>46568</v>
      </c>
      <c r="I57" s="14" t="s">
        <v>302</v>
      </c>
      <c r="J57" s="14" t="s">
        <v>271</v>
      </c>
      <c r="K57" s="14" t="n">
        <v>30</v>
      </c>
      <c r="L57" s="16" t="n">
        <v>165.082745553182</v>
      </c>
      <c r="M57" s="30" t="n">
        <v>27.6901735836919</v>
      </c>
      <c r="N57" s="16" t="n">
        <v>21.1076013204087</v>
      </c>
      <c r="O57" s="16" t="n">
        <v>-9.29283791267971</v>
      </c>
      <c r="P57" s="16" t="n">
        <v>-2.95369085193226</v>
      </c>
      <c r="Q57" s="16" t="n">
        <v>0.000609614062517242</v>
      </c>
      <c r="R57" s="16" t="n">
        <v>-5.77789609436137</v>
      </c>
      <c r="S57" s="16" t="n">
        <v>0</v>
      </c>
      <c r="T57" s="16" t="n">
        <v>12.3766239881776</v>
      </c>
      <c r="U57" s="16" t="n">
        <v>25</v>
      </c>
      <c r="V57" s="16" t="n">
        <v>28.9166559651964</v>
      </c>
      <c r="W57" s="16" t="n">
        <v>575.46875</v>
      </c>
      <c r="X57" s="16" t="n">
        <v>0</v>
      </c>
      <c r="Y57" s="16" t="n">
        <v>0</v>
      </c>
      <c r="Z57" s="16" t="n">
        <v>0</v>
      </c>
      <c r="AA57" s="16" t="n">
        <v>0</v>
      </c>
      <c r="AB57" s="16" t="n">
        <v>0</v>
      </c>
      <c r="AC57" s="16" t="n">
        <v>575.46875</v>
      </c>
      <c r="AD57" s="16" t="n">
        <v>3.00679551401167</v>
      </c>
      <c r="AE57" s="16" t="n">
        <v>0</v>
      </c>
      <c r="AF57" s="16" t="n">
        <v>3.00679551401167</v>
      </c>
      <c r="AG57" s="16" t="n">
        <v>0</v>
      </c>
      <c r="AH57" s="16" t="n">
        <v>3.15892250896961</v>
      </c>
      <c r="AI57" s="16" t="n">
        <v>3.15892250896961</v>
      </c>
      <c r="AJ57" s="16" t="n">
        <v>0.66925</v>
      </c>
      <c r="AK57" s="16" t="n">
        <v>1.20833333333333</v>
      </c>
      <c r="AL57" s="16" t="n">
        <v>0.416666666666667</v>
      </c>
      <c r="AM57" s="16" t="n">
        <v>0</v>
      </c>
      <c r="AN57" s="16" t="n">
        <v>638.08775</v>
      </c>
      <c r="AO57" s="16" t="n">
        <v>297.716655965196</v>
      </c>
      <c r="AP57" s="16" t="n">
        <v>0</v>
      </c>
      <c r="AQ57" s="14" t="n">
        <v>293.8</v>
      </c>
      <c r="AR57" s="14" t="s">
        <v>256</v>
      </c>
      <c r="AS57" s="29"/>
      <c r="AT57" s="14" t="n">
        <v>222.270225007108</v>
      </c>
      <c r="AU57" s="17" t="n">
        <v>2.87077475167713</v>
      </c>
      <c r="AV57" s="17" t="n">
        <v>5.60648069451345</v>
      </c>
      <c r="AW57" s="16" t="n">
        <v>0</v>
      </c>
      <c r="AX57" s="14" t="s">
        <v>257</v>
      </c>
      <c r="AY57" s="14" t="s">
        <v>257</v>
      </c>
      <c r="AZ57" s="14" t="s">
        <v>258</v>
      </c>
      <c r="BA57" s="14" t="s">
        <v>259</v>
      </c>
      <c r="BB57" s="14" t="s">
        <v>318</v>
      </c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customFormat="false" ht="15" hidden="false" customHeight="false" outlineLevel="0" collapsed="false">
      <c r="C58" s="14" t="s">
        <v>62</v>
      </c>
      <c r="D58" s="14" t="s">
        <v>251</v>
      </c>
      <c r="E58" s="14" t="s">
        <v>319</v>
      </c>
      <c r="F58" s="14" t="s">
        <v>253</v>
      </c>
      <c r="G58" s="29" t="n">
        <v>46569</v>
      </c>
      <c r="H58" s="29" t="n">
        <v>46599</v>
      </c>
      <c r="I58" s="14" t="s">
        <v>302</v>
      </c>
      <c r="J58" s="14" t="s">
        <v>271</v>
      </c>
      <c r="K58" s="14" t="n">
        <v>31</v>
      </c>
      <c r="L58" s="16" t="n">
        <v>165.082745553182</v>
      </c>
      <c r="M58" s="30" t="n">
        <v>27.6901735836919</v>
      </c>
      <c r="N58" s="16" t="n">
        <v>21.1076013204087</v>
      </c>
      <c r="O58" s="16" t="n">
        <v>-9.29283791267971</v>
      </c>
      <c r="P58" s="16" t="n">
        <v>-2.95369085193226</v>
      </c>
      <c r="Q58" s="16" t="n">
        <v>0.000609614062517242</v>
      </c>
      <c r="R58" s="16" t="n">
        <v>-5.77789609436137</v>
      </c>
      <c r="S58" s="16" t="n">
        <v>0</v>
      </c>
      <c r="T58" s="16" t="n">
        <v>12.3766239881776</v>
      </c>
      <c r="U58" s="16" t="n">
        <v>28.9166559651964</v>
      </c>
      <c r="V58" s="16" t="n">
        <v>25</v>
      </c>
      <c r="W58" s="16" t="n">
        <v>575.46875</v>
      </c>
      <c r="X58" s="16" t="n">
        <v>11.90625</v>
      </c>
      <c r="Y58" s="16" t="n">
        <v>11.90625</v>
      </c>
      <c r="Z58" s="16" t="n">
        <v>0</v>
      </c>
      <c r="AA58" s="16" t="n">
        <v>0</v>
      </c>
      <c r="AB58" s="16" t="n">
        <v>0</v>
      </c>
      <c r="AC58" s="16" t="n">
        <v>563.5625</v>
      </c>
      <c r="AD58" s="16" t="n">
        <v>0</v>
      </c>
      <c r="AE58" s="16" t="n">
        <v>1.02813260651117</v>
      </c>
      <c r="AF58" s="16" t="n">
        <v>0</v>
      </c>
      <c r="AG58" s="16" t="n">
        <v>1.02813260651117</v>
      </c>
      <c r="AH58" s="16" t="n">
        <v>3.12091255988517</v>
      </c>
      <c r="AI58" s="16" t="n">
        <v>3.12091255988517</v>
      </c>
      <c r="AJ58" s="16" t="n">
        <v>0.66925</v>
      </c>
      <c r="AK58" s="16" t="n">
        <v>1.20833333333333</v>
      </c>
      <c r="AL58" s="16" t="n">
        <v>0.416666666666667</v>
      </c>
      <c r="AM58" s="16" t="n">
        <v>0</v>
      </c>
      <c r="AN58" s="16" t="n">
        <v>627.209632606511</v>
      </c>
      <c r="AO58" s="16" t="n">
        <v>292.771867393489</v>
      </c>
      <c r="AP58" s="16" t="n">
        <v>1.02813260651117</v>
      </c>
      <c r="AQ58" s="14" t="n">
        <v>292.771867393489</v>
      </c>
      <c r="AR58" s="14" t="s">
        <v>256</v>
      </c>
      <c r="AS58" s="29"/>
      <c r="AT58" s="14" t="n">
        <v>222.269697303883</v>
      </c>
      <c r="AU58" s="17" t="n">
        <v>2.82184049474366</v>
      </c>
      <c r="AV58" s="17" t="n">
        <v>5.65259632994346</v>
      </c>
      <c r="AW58" s="16" t="n">
        <v>0</v>
      </c>
      <c r="AX58" s="14" t="s">
        <v>257</v>
      </c>
      <c r="AY58" s="14" t="s">
        <v>257</v>
      </c>
      <c r="AZ58" s="14" t="s">
        <v>258</v>
      </c>
      <c r="BA58" s="14" t="s">
        <v>259</v>
      </c>
      <c r="BB58" s="14" t="s">
        <v>320</v>
      </c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customFormat="false" ht="15" hidden="false" customHeight="false" outlineLevel="0" collapsed="false">
      <c r="C59" s="14" t="s">
        <v>62</v>
      </c>
      <c r="D59" s="14" t="s">
        <v>251</v>
      </c>
      <c r="E59" s="14" t="s">
        <v>321</v>
      </c>
      <c r="F59" s="14" t="s">
        <v>253</v>
      </c>
      <c r="G59" s="29" t="n">
        <v>46600</v>
      </c>
      <c r="H59" s="29" t="n">
        <v>46630</v>
      </c>
      <c r="I59" s="14" t="s">
        <v>302</v>
      </c>
      <c r="J59" s="14" t="s">
        <v>288</v>
      </c>
      <c r="K59" s="14" t="n">
        <v>31</v>
      </c>
      <c r="L59" s="16" t="n">
        <v>163.273836002051</v>
      </c>
      <c r="M59" s="30" t="n">
        <v>27.9159174302794</v>
      </c>
      <c r="N59" s="16" t="n">
        <v>21.2448934520007</v>
      </c>
      <c r="O59" s="16" t="n">
        <v>-9.19101077622747</v>
      </c>
      <c r="P59" s="16" t="n">
        <v>-3.01347066894331</v>
      </c>
      <c r="Q59" s="16" t="n">
        <v>0.000602007855260384</v>
      </c>
      <c r="R59" s="16" t="n">
        <v>-5.71458426007179</v>
      </c>
      <c r="S59" s="16" t="n">
        <v>0</v>
      </c>
      <c r="T59" s="16" t="n">
        <v>12.5174405308409</v>
      </c>
      <c r="U59" s="16" t="n">
        <v>25</v>
      </c>
      <c r="V59" s="16" t="n">
        <v>31.1067387238194</v>
      </c>
      <c r="W59" s="16" t="n">
        <v>563.5625</v>
      </c>
      <c r="X59" s="16" t="n">
        <v>0</v>
      </c>
      <c r="Y59" s="16" t="n">
        <v>0</v>
      </c>
      <c r="Z59" s="16" t="n">
        <v>0</v>
      </c>
      <c r="AA59" s="16" t="n">
        <v>0</v>
      </c>
      <c r="AB59" s="16" t="n">
        <v>0</v>
      </c>
      <c r="AC59" s="16" t="n">
        <v>563.5625</v>
      </c>
      <c r="AD59" s="16" t="n">
        <v>1.02813260651117</v>
      </c>
      <c r="AE59" s="16" t="n">
        <v>0</v>
      </c>
      <c r="AF59" s="16" t="n">
        <v>1.02813260651117</v>
      </c>
      <c r="AG59" s="16" t="n">
        <v>0</v>
      </c>
      <c r="AH59" s="16" t="n">
        <v>3.08831920051032</v>
      </c>
      <c r="AI59" s="16" t="n">
        <v>3.08831920051032</v>
      </c>
      <c r="AJ59" s="16" t="n">
        <v>0.66925</v>
      </c>
      <c r="AK59" s="16" t="n">
        <v>1.20833333333333</v>
      </c>
      <c r="AL59" s="16" t="n">
        <v>0.416666666666667</v>
      </c>
      <c r="AM59" s="16" t="n">
        <v>0</v>
      </c>
      <c r="AN59" s="16" t="n">
        <v>626.1815</v>
      </c>
      <c r="AO59" s="16" t="n">
        <v>299.906738723819</v>
      </c>
      <c r="AP59" s="16" t="n">
        <v>0</v>
      </c>
      <c r="AQ59" s="14" t="n">
        <v>293.8</v>
      </c>
      <c r="AR59" s="14" t="s">
        <v>256</v>
      </c>
      <c r="AS59" s="29"/>
      <c r="AT59" s="14" t="n">
        <v>222.269166168268</v>
      </c>
      <c r="AU59" s="17" t="n">
        <v>2.81722161825159</v>
      </c>
      <c r="AV59" s="17" t="n">
        <v>5.69890130241046</v>
      </c>
      <c r="AW59" s="16" t="n">
        <v>0</v>
      </c>
      <c r="AX59" s="14" t="s">
        <v>257</v>
      </c>
      <c r="AY59" s="14" t="s">
        <v>257</v>
      </c>
      <c r="AZ59" s="14" t="s">
        <v>258</v>
      </c>
      <c r="BA59" s="14" t="s">
        <v>259</v>
      </c>
      <c r="BB59" s="14" t="s">
        <v>322</v>
      </c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customFormat="false" ht="15" hidden="false" customHeight="false" outlineLevel="0" collapsed="false">
      <c r="C60" s="14" t="s">
        <v>62</v>
      </c>
      <c r="D60" s="14" t="s">
        <v>251</v>
      </c>
      <c r="E60" s="14" t="s">
        <v>323</v>
      </c>
      <c r="F60" s="14" t="s">
        <v>253</v>
      </c>
      <c r="G60" s="29" t="n">
        <v>46631</v>
      </c>
      <c r="H60" s="29" t="n">
        <v>46660</v>
      </c>
      <c r="I60" s="14" t="s">
        <v>302</v>
      </c>
      <c r="J60" s="14" t="s">
        <v>288</v>
      </c>
      <c r="K60" s="14" t="n">
        <v>30</v>
      </c>
      <c r="L60" s="16" t="n">
        <v>163.273836002051</v>
      </c>
      <c r="M60" s="30" t="n">
        <v>27.9159174302794</v>
      </c>
      <c r="N60" s="16" t="n">
        <v>21.2448934520007</v>
      </c>
      <c r="O60" s="16" t="n">
        <v>-9.19101077622747</v>
      </c>
      <c r="P60" s="16" t="n">
        <v>-3.01347066894331</v>
      </c>
      <c r="Q60" s="16" t="n">
        <v>0.000602007855260384</v>
      </c>
      <c r="R60" s="16" t="n">
        <v>-5.71458426007179</v>
      </c>
      <c r="S60" s="16" t="n">
        <v>0</v>
      </c>
      <c r="T60" s="16" t="n">
        <v>12.5174405308409</v>
      </c>
      <c r="U60" s="16" t="n">
        <v>31.1067387238194</v>
      </c>
      <c r="V60" s="16" t="n">
        <v>38.2444245671602</v>
      </c>
      <c r="W60" s="16" t="n">
        <v>563.5625</v>
      </c>
      <c r="X60" s="16" t="n">
        <v>0</v>
      </c>
      <c r="Y60" s="16" t="n">
        <v>0</v>
      </c>
      <c r="Z60" s="16" t="n">
        <v>0</v>
      </c>
      <c r="AA60" s="16" t="n">
        <v>0</v>
      </c>
      <c r="AB60" s="16" t="n">
        <v>0</v>
      </c>
      <c r="AC60" s="16" t="n">
        <v>563.5625</v>
      </c>
      <c r="AD60" s="16" t="n">
        <v>0</v>
      </c>
      <c r="AE60" s="16" t="n">
        <v>0</v>
      </c>
      <c r="AF60" s="16" t="n">
        <v>0</v>
      </c>
      <c r="AG60" s="16" t="n">
        <v>0</v>
      </c>
      <c r="AH60" s="16" t="n">
        <v>3.0855046875</v>
      </c>
      <c r="AI60" s="16" t="n">
        <v>3.0855046875</v>
      </c>
      <c r="AJ60" s="16" t="n">
        <v>0.66925</v>
      </c>
      <c r="AK60" s="16" t="n">
        <v>1.20833333333333</v>
      </c>
      <c r="AL60" s="16" t="n">
        <v>0.416666666666667</v>
      </c>
      <c r="AM60" s="16" t="n">
        <v>0</v>
      </c>
      <c r="AN60" s="16" t="n">
        <v>626.1815</v>
      </c>
      <c r="AO60" s="16" t="n">
        <v>307.04442456716</v>
      </c>
      <c r="AP60" s="16" t="n">
        <v>0</v>
      </c>
      <c r="AQ60" s="14" t="n">
        <v>293.8</v>
      </c>
      <c r="AR60" s="14" t="s">
        <v>256</v>
      </c>
      <c r="AS60" s="29"/>
      <c r="AT60" s="14" t="n">
        <v>222.268635032653</v>
      </c>
      <c r="AU60" s="17" t="n">
        <v>2.81722835031586</v>
      </c>
      <c r="AV60" s="17" t="n">
        <v>5.74087996220275</v>
      </c>
      <c r="AW60" s="16" t="n">
        <v>0</v>
      </c>
      <c r="AX60" s="14" t="s">
        <v>257</v>
      </c>
      <c r="AY60" s="14" t="s">
        <v>257</v>
      </c>
      <c r="AZ60" s="14" t="s">
        <v>258</v>
      </c>
      <c r="BA60" s="14" t="s">
        <v>259</v>
      </c>
      <c r="BB60" s="14" t="s">
        <v>324</v>
      </c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customFormat="false" ht="15" hidden="false" customHeight="false" outlineLevel="0" collapsed="false">
      <c r="C61" s="14" t="s">
        <v>62</v>
      </c>
      <c r="D61" s="14" t="s">
        <v>251</v>
      </c>
      <c r="E61" s="14" t="s">
        <v>325</v>
      </c>
      <c r="F61" s="14" t="s">
        <v>253</v>
      </c>
      <c r="G61" s="29" t="n">
        <v>46661</v>
      </c>
      <c r="H61" s="29" t="n">
        <v>46691</v>
      </c>
      <c r="I61" s="14" t="s">
        <v>302</v>
      </c>
      <c r="J61" s="14" t="s">
        <v>288</v>
      </c>
      <c r="K61" s="14" t="n">
        <v>31</v>
      </c>
      <c r="L61" s="16" t="n">
        <v>163.273836002051</v>
      </c>
      <c r="M61" s="30" t="n">
        <v>27.9159174302794</v>
      </c>
      <c r="N61" s="16" t="n">
        <v>21.2448934520007</v>
      </c>
      <c r="O61" s="16" t="n">
        <v>-9.19101077622747</v>
      </c>
      <c r="P61" s="16" t="n">
        <v>-3.01347066894331</v>
      </c>
      <c r="Q61" s="16" t="n">
        <v>0.000602007855260384</v>
      </c>
      <c r="R61" s="16" t="n">
        <v>-5.71458426007179</v>
      </c>
      <c r="S61" s="16" t="n">
        <v>0</v>
      </c>
      <c r="T61" s="16" t="n">
        <v>12.5174405308409</v>
      </c>
      <c r="U61" s="16" t="n">
        <v>38.2444245671602</v>
      </c>
      <c r="V61" s="16" t="n">
        <v>29.254226884938</v>
      </c>
      <c r="W61" s="16" t="n">
        <v>563.5625</v>
      </c>
      <c r="X61" s="16" t="n">
        <v>11.90625</v>
      </c>
      <c r="Y61" s="16" t="n">
        <v>11.90625</v>
      </c>
      <c r="Z61" s="16" t="n">
        <v>4.25422688493803</v>
      </c>
      <c r="AA61" s="16" t="n">
        <v>0</v>
      </c>
      <c r="AB61" s="16" t="n">
        <v>0</v>
      </c>
      <c r="AC61" s="16" t="n">
        <v>547.402023115062</v>
      </c>
      <c r="AD61" s="16" t="n">
        <v>0</v>
      </c>
      <c r="AE61" s="16" t="n">
        <v>0</v>
      </c>
      <c r="AF61" s="16" t="n">
        <v>0</v>
      </c>
      <c r="AG61" s="16" t="n">
        <v>0</v>
      </c>
      <c r="AH61" s="16" t="n">
        <v>3.052911328125</v>
      </c>
      <c r="AI61" s="16" t="n">
        <v>3.052911328125</v>
      </c>
      <c r="AJ61" s="16" t="n">
        <v>0.66925</v>
      </c>
      <c r="AK61" s="16" t="n">
        <v>1.20833333333333</v>
      </c>
      <c r="AL61" s="16" t="n">
        <v>0.416666666666667</v>
      </c>
      <c r="AM61" s="16" t="n">
        <v>0</v>
      </c>
      <c r="AN61" s="16" t="n">
        <v>610.021023115062</v>
      </c>
      <c r="AO61" s="16" t="n">
        <v>298.054226884938</v>
      </c>
      <c r="AP61" s="16" t="n">
        <v>0</v>
      </c>
      <c r="AQ61" s="14" t="n">
        <v>293.8</v>
      </c>
      <c r="AR61" s="14" t="s">
        <v>256</v>
      </c>
      <c r="AS61" s="29"/>
      <c r="AT61" s="14" t="n">
        <v>222.268103897039</v>
      </c>
      <c r="AU61" s="17" t="n">
        <v>2.744527948093</v>
      </c>
      <c r="AV61" s="17" t="n">
        <v>5.78276990193249</v>
      </c>
      <c r="AW61" s="16" t="n">
        <v>0</v>
      </c>
      <c r="AX61" s="14" t="s">
        <v>257</v>
      </c>
      <c r="AY61" s="14" t="s">
        <v>257</v>
      </c>
      <c r="AZ61" s="14" t="s">
        <v>258</v>
      </c>
      <c r="BA61" s="14" t="s">
        <v>259</v>
      </c>
      <c r="BB61" s="14" t="s">
        <v>326</v>
      </c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</row>
    <row r="62" customFormat="false" ht="15" hidden="false" customHeight="false" outlineLevel="0" collapsed="false">
      <c r="C62" s="14" t="s">
        <v>62</v>
      </c>
      <c r="D62" s="14" t="s">
        <v>251</v>
      </c>
      <c r="E62" s="14" t="s">
        <v>327</v>
      </c>
      <c r="F62" s="14" t="s">
        <v>253</v>
      </c>
      <c r="G62" s="29" t="n">
        <v>46692</v>
      </c>
      <c r="H62" s="29" t="n">
        <v>46721</v>
      </c>
      <c r="I62" s="14" t="s">
        <v>328</v>
      </c>
      <c r="J62" s="14" t="s">
        <v>303</v>
      </c>
      <c r="K62" s="14" t="n">
        <v>30</v>
      </c>
      <c r="L62" s="16" t="n">
        <v>133.337999150025</v>
      </c>
      <c r="M62" s="30" t="n">
        <v>22.9096754759419</v>
      </c>
      <c r="N62" s="16" t="n">
        <v>10.6744741600661</v>
      </c>
      <c r="O62" s="16" t="n">
        <v>-7.50586264815323</v>
      </c>
      <c r="P62" s="16" t="n">
        <v>-0.792152877978208</v>
      </c>
      <c r="Q62" s="16" t="n">
        <v>0.000508407212006861</v>
      </c>
      <c r="R62" s="16" t="n">
        <v>-4.66682997025089</v>
      </c>
      <c r="S62" s="16" t="n">
        <v>0</v>
      </c>
      <c r="T62" s="16" t="n">
        <v>5.21599971904897</v>
      </c>
      <c r="U62" s="16" t="n">
        <v>29.254226884938</v>
      </c>
      <c r="V62" s="16" t="n">
        <v>29.2790338607654</v>
      </c>
      <c r="W62" s="16" t="n">
        <v>547.402023115062</v>
      </c>
      <c r="X62" s="16" t="n">
        <v>0</v>
      </c>
      <c r="Y62" s="16" t="n">
        <v>0</v>
      </c>
      <c r="Z62" s="16" t="n">
        <v>0</v>
      </c>
      <c r="AA62" s="16" t="n">
        <v>0</v>
      </c>
      <c r="AB62" s="16" t="n">
        <v>0</v>
      </c>
      <c r="AC62" s="16" t="n">
        <v>547.402023115062</v>
      </c>
      <c r="AD62" s="16" t="n">
        <v>0</v>
      </c>
      <c r="AE62" s="16" t="n">
        <v>0</v>
      </c>
      <c r="AF62" s="16" t="n">
        <v>0</v>
      </c>
      <c r="AG62" s="16" t="n">
        <v>0</v>
      </c>
      <c r="AH62" s="16" t="n">
        <v>2.99702607655496</v>
      </c>
      <c r="AI62" s="16" t="n">
        <v>2.99702607655496</v>
      </c>
      <c r="AJ62" s="16" t="n">
        <v>0.569166666666667</v>
      </c>
      <c r="AK62" s="16" t="n">
        <v>1.20833333333333</v>
      </c>
      <c r="AL62" s="16" t="n">
        <v>0.416666666666667</v>
      </c>
      <c r="AM62" s="16" t="n">
        <v>0</v>
      </c>
      <c r="AN62" s="16" t="n">
        <v>610.021023115062</v>
      </c>
      <c r="AO62" s="16" t="n">
        <v>298.079033860765</v>
      </c>
      <c r="AP62" s="16" t="n">
        <v>0</v>
      </c>
      <c r="AQ62" s="14" t="n">
        <v>293.8</v>
      </c>
      <c r="AR62" s="14" t="s">
        <v>256</v>
      </c>
      <c r="AS62" s="29"/>
      <c r="AT62" s="14" t="n">
        <v>222.267837028513</v>
      </c>
      <c r="AU62" s="17" t="n">
        <v>2.74453124334317</v>
      </c>
      <c r="AV62" s="17" t="n">
        <v>5.83112834924514</v>
      </c>
      <c r="AW62" s="16" t="n">
        <v>0</v>
      </c>
      <c r="AX62" s="14" t="s">
        <v>257</v>
      </c>
      <c r="AY62" s="14" t="s">
        <v>257</v>
      </c>
      <c r="AZ62" s="14" t="s">
        <v>258</v>
      </c>
      <c r="BA62" s="14" t="s">
        <v>259</v>
      </c>
      <c r="BB62" s="14" t="s">
        <v>329</v>
      </c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</row>
    <row r="63" customFormat="false" ht="15" hidden="false" customHeight="false" outlineLevel="0" collapsed="false">
      <c r="C63" s="14" t="s">
        <v>62</v>
      </c>
      <c r="D63" s="14" t="s">
        <v>251</v>
      </c>
      <c r="E63" s="14" t="s">
        <v>330</v>
      </c>
      <c r="F63" s="14" t="s">
        <v>253</v>
      </c>
      <c r="G63" s="29" t="n">
        <v>46722</v>
      </c>
      <c r="H63" s="29" t="n">
        <v>46752</v>
      </c>
      <c r="I63" s="14" t="s">
        <v>328</v>
      </c>
      <c r="J63" s="14" t="s">
        <v>303</v>
      </c>
      <c r="K63" s="14" t="n">
        <v>31</v>
      </c>
      <c r="L63" s="16" t="n">
        <v>133.337999150025</v>
      </c>
      <c r="M63" s="30" t="n">
        <v>22.9096754759419</v>
      </c>
      <c r="N63" s="16" t="n">
        <v>10.6744741600661</v>
      </c>
      <c r="O63" s="16" t="n">
        <v>-7.50586264815323</v>
      </c>
      <c r="P63" s="16" t="n">
        <v>-0.792152877978208</v>
      </c>
      <c r="Q63" s="16" t="n">
        <v>0.000508407212006861</v>
      </c>
      <c r="R63" s="16" t="n">
        <v>-4.66682997025089</v>
      </c>
      <c r="S63" s="16" t="n">
        <v>0</v>
      </c>
      <c r="T63" s="16" t="n">
        <v>5.21599971904897</v>
      </c>
      <c r="U63" s="16" t="n">
        <v>29.2790338607654</v>
      </c>
      <c r="V63" s="16" t="n">
        <v>29.3038408365927</v>
      </c>
      <c r="W63" s="16" t="n">
        <v>547.402023115062</v>
      </c>
      <c r="X63" s="16" t="n">
        <v>0</v>
      </c>
      <c r="Y63" s="16" t="n">
        <v>0</v>
      </c>
      <c r="Z63" s="16" t="n">
        <v>0</v>
      </c>
      <c r="AA63" s="16" t="n">
        <v>0</v>
      </c>
      <c r="AB63" s="16" t="n">
        <v>0</v>
      </c>
      <c r="AC63" s="16" t="n">
        <v>547.402023115062</v>
      </c>
      <c r="AD63" s="16" t="n">
        <v>0</v>
      </c>
      <c r="AE63" s="16" t="n">
        <v>0</v>
      </c>
      <c r="AF63" s="16" t="n">
        <v>0</v>
      </c>
      <c r="AG63" s="16" t="n">
        <v>0</v>
      </c>
      <c r="AH63" s="16" t="n">
        <v>2.99702607655496</v>
      </c>
      <c r="AI63" s="16" t="n">
        <v>2.99702607655496</v>
      </c>
      <c r="AJ63" s="16" t="n">
        <v>0.569166666666667</v>
      </c>
      <c r="AK63" s="16" t="n">
        <v>1.20833333333333</v>
      </c>
      <c r="AL63" s="16" t="n">
        <v>0.416666666666667</v>
      </c>
      <c r="AM63" s="16" t="n">
        <v>0</v>
      </c>
      <c r="AN63" s="16" t="n">
        <v>610.021023115062</v>
      </c>
      <c r="AO63" s="16" t="n">
        <v>298.103840836593</v>
      </c>
      <c r="AP63" s="16" t="n">
        <v>0</v>
      </c>
      <c r="AQ63" s="14" t="n">
        <v>293.8</v>
      </c>
      <c r="AR63" s="14" t="s">
        <v>256</v>
      </c>
      <c r="AS63" s="29"/>
      <c r="AT63" s="14" t="n">
        <v>222.267570159987</v>
      </c>
      <c r="AU63" s="17" t="n">
        <v>2.74453453860125</v>
      </c>
      <c r="AV63" s="17" t="n">
        <v>5.88063901506592</v>
      </c>
      <c r="AW63" s="16" t="n">
        <v>0</v>
      </c>
      <c r="AX63" s="14" t="s">
        <v>257</v>
      </c>
      <c r="AY63" s="14" t="s">
        <v>257</v>
      </c>
      <c r="AZ63" s="14" t="s">
        <v>258</v>
      </c>
      <c r="BA63" s="14" t="s">
        <v>259</v>
      </c>
      <c r="BB63" s="14" t="s">
        <v>331</v>
      </c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</row>
    <row r="64" customFormat="false" ht="15" hidden="false" customHeight="false" outlineLevel="0" collapsed="false">
      <c r="C64" s="14" t="s">
        <v>62</v>
      </c>
      <c r="D64" s="14" t="s">
        <v>251</v>
      </c>
      <c r="E64" s="14" t="s">
        <v>332</v>
      </c>
      <c r="F64" s="14" t="s">
        <v>253</v>
      </c>
      <c r="G64" s="29" t="n">
        <v>46753</v>
      </c>
      <c r="H64" s="29" t="n">
        <v>46783</v>
      </c>
      <c r="I64" s="14" t="s">
        <v>328</v>
      </c>
      <c r="J64" s="14" t="s">
        <v>303</v>
      </c>
      <c r="K64" s="14" t="n">
        <v>31</v>
      </c>
      <c r="L64" s="16" t="n">
        <v>133.337999150025</v>
      </c>
      <c r="M64" s="30" t="n">
        <v>22.9096754759419</v>
      </c>
      <c r="N64" s="16" t="n">
        <v>10.6744741600661</v>
      </c>
      <c r="O64" s="16" t="n">
        <v>-7.50586264815323</v>
      </c>
      <c r="P64" s="16" t="n">
        <v>-0.792152877978208</v>
      </c>
      <c r="Q64" s="16" t="n">
        <v>0.000508407212006861</v>
      </c>
      <c r="R64" s="16" t="n">
        <v>-4.66682997025089</v>
      </c>
      <c r="S64" s="16" t="n">
        <v>0</v>
      </c>
      <c r="T64" s="16" t="n">
        <v>5.21599971904897</v>
      </c>
      <c r="U64" s="16" t="n">
        <v>29.3038408365927</v>
      </c>
      <c r="V64" s="16" t="n">
        <v>25</v>
      </c>
      <c r="W64" s="16" t="n">
        <v>547.402023115062</v>
      </c>
      <c r="X64" s="16" t="n">
        <v>11.90625</v>
      </c>
      <c r="Y64" s="16" t="n">
        <v>11.90625</v>
      </c>
      <c r="Z64" s="16" t="n">
        <v>0</v>
      </c>
      <c r="AA64" s="16" t="n">
        <v>0</v>
      </c>
      <c r="AB64" s="16" t="n">
        <v>0</v>
      </c>
      <c r="AC64" s="16" t="n">
        <v>535.495773115062</v>
      </c>
      <c r="AD64" s="16" t="n">
        <v>0</v>
      </c>
      <c r="AE64" s="16" t="n">
        <v>7.56571998666729</v>
      </c>
      <c r="AF64" s="16" t="n">
        <v>0</v>
      </c>
      <c r="AG64" s="16" t="n">
        <v>7.56571998666729</v>
      </c>
      <c r="AH64" s="16" t="n">
        <v>2.98514387564231</v>
      </c>
      <c r="AI64" s="16" t="n">
        <v>2.98514387564231</v>
      </c>
      <c r="AJ64" s="16" t="n">
        <v>0.569166666666667</v>
      </c>
      <c r="AK64" s="16" t="n">
        <v>1.20833333333333</v>
      </c>
      <c r="AL64" s="16" t="n">
        <v>0.416666666666667</v>
      </c>
      <c r="AM64" s="16" t="n">
        <v>0</v>
      </c>
      <c r="AN64" s="16" t="n">
        <v>605.680493101729</v>
      </c>
      <c r="AO64" s="16" t="n">
        <v>286.234280013333</v>
      </c>
      <c r="AP64" s="16" t="n">
        <v>7.56571998666729</v>
      </c>
      <c r="AQ64" s="14" t="n">
        <v>286.234280013333</v>
      </c>
      <c r="AR64" s="14" t="s">
        <v>256</v>
      </c>
      <c r="AS64" s="29"/>
      <c r="AT64" s="14" t="n">
        <v>222.267303291461</v>
      </c>
      <c r="AU64" s="17" t="n">
        <v>2.72500941043719</v>
      </c>
      <c r="AV64" s="17" t="n">
        <v>5.93322328824463</v>
      </c>
      <c r="AW64" s="16" t="n">
        <v>0</v>
      </c>
      <c r="AX64" s="14" t="s">
        <v>257</v>
      </c>
      <c r="AY64" s="14" t="s">
        <v>257</v>
      </c>
      <c r="AZ64" s="14" t="s">
        <v>258</v>
      </c>
      <c r="BA64" s="14" t="s">
        <v>259</v>
      </c>
      <c r="BB64" s="14" t="s">
        <v>333</v>
      </c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</row>
    <row r="65" customFormat="false" ht="15" hidden="false" customHeight="false" outlineLevel="0" collapsed="false">
      <c r="C65" s="14" t="s">
        <v>62</v>
      </c>
      <c r="D65" s="14" t="s">
        <v>251</v>
      </c>
      <c r="E65" s="14" t="s">
        <v>334</v>
      </c>
      <c r="F65" s="14" t="s">
        <v>335</v>
      </c>
      <c r="G65" s="29" t="n">
        <v>46784</v>
      </c>
      <c r="H65" s="29" t="n">
        <v>46873</v>
      </c>
      <c r="I65" s="14" t="s">
        <v>328</v>
      </c>
      <c r="J65" s="14" t="s">
        <v>255</v>
      </c>
      <c r="K65" s="14" t="n">
        <v>90</v>
      </c>
      <c r="L65" s="16" t="n">
        <v>452.444064998389</v>
      </c>
      <c r="M65" s="30" t="n">
        <v>28.8693217195837</v>
      </c>
      <c r="N65" s="16" t="n">
        <v>63.1848168341226</v>
      </c>
      <c r="O65" s="16" t="n">
        <v>-25.4689813068893</v>
      </c>
      <c r="P65" s="16" t="n">
        <v>-9.42895888180832</v>
      </c>
      <c r="Q65" s="16" t="n">
        <v>0.00165736814384885</v>
      </c>
      <c r="R65" s="16" t="n">
        <v>-15.8355422749436</v>
      </c>
      <c r="S65" s="16" t="n">
        <v>0</v>
      </c>
      <c r="T65" s="16" t="n">
        <v>37.9219730455145</v>
      </c>
      <c r="U65" s="16" t="n">
        <v>25</v>
      </c>
      <c r="V65" s="16" t="n">
        <v>28.0834731148765</v>
      </c>
      <c r="W65" s="16" t="n">
        <v>535.495773115062</v>
      </c>
      <c r="X65" s="16" t="n">
        <v>11.90625</v>
      </c>
      <c r="Y65" s="16" t="n">
        <v>11.90625</v>
      </c>
      <c r="Z65" s="16" t="n">
        <v>0</v>
      </c>
      <c r="AA65" s="16" t="n">
        <v>0</v>
      </c>
      <c r="AB65" s="16" t="n">
        <v>0</v>
      </c>
      <c r="AC65" s="16" t="n">
        <v>523.589523115062</v>
      </c>
      <c r="AD65" s="16" t="n">
        <v>7.56571998666729</v>
      </c>
      <c r="AE65" s="16" t="n">
        <v>0</v>
      </c>
      <c r="AF65" s="16" t="n">
        <v>7.56571998666729</v>
      </c>
      <c r="AG65" s="16" t="n">
        <v>0</v>
      </c>
      <c r="AH65" s="16" t="n">
        <v>8.7840299439707</v>
      </c>
      <c r="AI65" s="16" t="n">
        <v>8.7840299439707</v>
      </c>
      <c r="AJ65" s="16" t="n">
        <v>1.7075</v>
      </c>
      <c r="AK65" s="16" t="n">
        <v>3.625</v>
      </c>
      <c r="AL65" s="16" t="n">
        <v>1.25</v>
      </c>
      <c r="AM65" s="16" t="n">
        <v>0</v>
      </c>
      <c r="AN65" s="16" t="n">
        <v>586.208523115062</v>
      </c>
      <c r="AO65" s="16" t="n">
        <v>293.728023476502</v>
      </c>
      <c r="AP65" s="16" t="n">
        <v>0.0719765234984858</v>
      </c>
      <c r="AQ65" s="14" t="n">
        <v>293.8</v>
      </c>
      <c r="AR65" s="14" t="s">
        <v>256</v>
      </c>
      <c r="AS65" s="29"/>
      <c r="AT65" s="14" t="n">
        <v>222.265723631549</v>
      </c>
      <c r="AU65" s="17" t="n">
        <v>2.6374220619227</v>
      </c>
      <c r="AV65" s="17" t="n">
        <v>6.09685013724312</v>
      </c>
      <c r="AW65" s="16" t="n">
        <v>0</v>
      </c>
      <c r="AX65" s="14" t="s">
        <v>257</v>
      </c>
      <c r="AY65" s="14" t="s">
        <v>257</v>
      </c>
      <c r="AZ65" s="14" t="s">
        <v>258</v>
      </c>
      <c r="BA65" s="14" t="s">
        <v>259</v>
      </c>
      <c r="BB65" s="14" t="s">
        <v>336</v>
      </c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</row>
    <row r="66" customFormat="false" ht="15" hidden="false" customHeight="false" outlineLevel="0" collapsed="false">
      <c r="C66" s="14" t="s">
        <v>62</v>
      </c>
      <c r="D66" s="14" t="s">
        <v>251</v>
      </c>
      <c r="E66" s="14" t="s">
        <v>337</v>
      </c>
      <c r="F66" s="14" t="s">
        <v>335</v>
      </c>
      <c r="G66" s="29" t="n">
        <v>46874</v>
      </c>
      <c r="H66" s="29" t="n">
        <v>46965</v>
      </c>
      <c r="I66" s="14" t="s">
        <v>328</v>
      </c>
      <c r="J66" s="14" t="s">
        <v>271</v>
      </c>
      <c r="K66" s="14" t="n">
        <v>92</v>
      </c>
      <c r="L66" s="16" t="n">
        <v>495.235855453629</v>
      </c>
      <c r="M66" s="30" t="n">
        <v>27.6901735836919</v>
      </c>
      <c r="N66" s="16" t="n">
        <v>63.3212208911272</v>
      </c>
      <c r="O66" s="16" t="n">
        <v>-27.8778167751957</v>
      </c>
      <c r="P66" s="16" t="n">
        <v>-8.86085102898288</v>
      </c>
      <c r="Q66" s="16" t="n">
        <v>0.00182879646649704</v>
      </c>
      <c r="R66" s="16" t="n">
        <v>-17.333254940877</v>
      </c>
      <c r="S66" s="16" t="n">
        <v>0</v>
      </c>
      <c r="T66" s="16" t="n">
        <v>37.1289437177338</v>
      </c>
      <c r="U66" s="16" t="n">
        <v>28.0834731148765</v>
      </c>
      <c r="V66" s="16" t="n">
        <v>38.1563022748204</v>
      </c>
      <c r="W66" s="16" t="n">
        <v>523.589523115062</v>
      </c>
      <c r="X66" s="16" t="n">
        <v>11.90625</v>
      </c>
      <c r="Y66" s="16" t="n">
        <v>11.90625</v>
      </c>
      <c r="Z66" s="16" t="n">
        <v>0</v>
      </c>
      <c r="AA66" s="16" t="n">
        <v>0</v>
      </c>
      <c r="AB66" s="16" t="n">
        <v>0</v>
      </c>
      <c r="AC66" s="16" t="n">
        <v>511.683273115062</v>
      </c>
      <c r="AD66" s="16" t="n">
        <v>0</v>
      </c>
      <c r="AE66" s="16" t="n">
        <v>0</v>
      </c>
      <c r="AF66" s="16" t="n">
        <v>0</v>
      </c>
      <c r="AG66" s="16" t="n">
        <v>0</v>
      </c>
      <c r="AH66" s="16" t="n">
        <v>8.56736455778989</v>
      </c>
      <c r="AI66" s="16" t="n">
        <v>8.56736455778989</v>
      </c>
      <c r="AJ66" s="16" t="n">
        <v>1.7075</v>
      </c>
      <c r="AK66" s="16" t="n">
        <v>3.625</v>
      </c>
      <c r="AL66" s="16" t="n">
        <v>1.25</v>
      </c>
      <c r="AM66" s="16" t="n">
        <v>0</v>
      </c>
      <c r="AN66" s="16" t="n">
        <v>574.302273115062</v>
      </c>
      <c r="AO66" s="16" t="n">
        <v>304.198968381733</v>
      </c>
      <c r="AP66" s="16" t="n">
        <v>0</v>
      </c>
      <c r="AQ66" s="14" t="n">
        <v>293.8</v>
      </c>
      <c r="AR66" s="14" t="s">
        <v>256</v>
      </c>
      <c r="AS66" s="29"/>
      <c r="AT66" s="14" t="n">
        <v>222.26414056145</v>
      </c>
      <c r="AU66" s="17" t="n">
        <v>2.58387282655829</v>
      </c>
      <c r="AV66" s="17" t="n">
        <v>6.25086774368576</v>
      </c>
      <c r="AW66" s="16" t="n">
        <v>0</v>
      </c>
      <c r="AX66" s="14" t="s">
        <v>257</v>
      </c>
      <c r="AY66" s="14" t="s">
        <v>257</v>
      </c>
      <c r="AZ66" s="14" t="s">
        <v>258</v>
      </c>
      <c r="BA66" s="14" t="s">
        <v>259</v>
      </c>
      <c r="BB66" s="14" t="s">
        <v>338</v>
      </c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</row>
    <row r="67" customFormat="false" ht="15" hidden="false" customHeight="false" outlineLevel="0" collapsed="false">
      <c r="C67" s="14" t="s">
        <v>62</v>
      </c>
      <c r="D67" s="14" t="s">
        <v>251</v>
      </c>
      <c r="E67" s="14" t="s">
        <v>339</v>
      </c>
      <c r="F67" s="14" t="s">
        <v>335</v>
      </c>
      <c r="G67" s="29" t="n">
        <v>46966</v>
      </c>
      <c r="H67" s="29" t="n">
        <v>47057</v>
      </c>
      <c r="I67" s="14" t="s">
        <v>328</v>
      </c>
      <c r="J67" s="14" t="s">
        <v>288</v>
      </c>
      <c r="K67" s="14" t="n">
        <v>92</v>
      </c>
      <c r="L67" s="16" t="n">
        <v>489.809262468454</v>
      </c>
      <c r="M67" s="30" t="n">
        <v>27.9159174302794</v>
      </c>
      <c r="N67" s="16" t="n">
        <v>63.7330869889932</v>
      </c>
      <c r="O67" s="16" t="n">
        <v>-27.5723430028742</v>
      </c>
      <c r="P67" s="16" t="n">
        <v>-9.04018599652975</v>
      </c>
      <c r="Q67" s="16" t="n">
        <v>0.00180597841519201</v>
      </c>
      <c r="R67" s="16" t="n">
        <v>-17.1433241863959</v>
      </c>
      <c r="S67" s="16" t="n">
        <v>0</v>
      </c>
      <c r="T67" s="16" t="n">
        <v>37.5513827844828</v>
      </c>
      <c r="U67" s="16" t="n">
        <v>38.1563022748204</v>
      </c>
      <c r="V67" s="16" t="n">
        <v>36.9235653288816</v>
      </c>
      <c r="W67" s="16" t="n">
        <v>511.683273115062</v>
      </c>
      <c r="X67" s="16" t="n">
        <v>11.90625</v>
      </c>
      <c r="Y67" s="16" t="n">
        <v>11.90625</v>
      </c>
      <c r="Z67" s="16" t="n">
        <v>11.9235653288816</v>
      </c>
      <c r="AA67" s="16" t="n">
        <v>0</v>
      </c>
      <c r="AB67" s="16" t="n">
        <v>0</v>
      </c>
      <c r="AC67" s="16" t="n">
        <v>487.85345778618</v>
      </c>
      <c r="AD67" s="16" t="n">
        <v>0</v>
      </c>
      <c r="AE67" s="16" t="n">
        <v>0</v>
      </c>
      <c r="AF67" s="16" t="n">
        <v>0</v>
      </c>
      <c r="AG67" s="16" t="n">
        <v>0</v>
      </c>
      <c r="AH67" s="16" t="n">
        <v>8.37180440153989</v>
      </c>
      <c r="AI67" s="16" t="n">
        <v>8.37180440153989</v>
      </c>
      <c r="AJ67" s="16" t="n">
        <v>1.7075</v>
      </c>
      <c r="AK67" s="16" t="n">
        <v>3.625</v>
      </c>
      <c r="AL67" s="16" t="n">
        <v>1.25</v>
      </c>
      <c r="AM67" s="16" t="n">
        <v>0</v>
      </c>
      <c r="AN67" s="16" t="n">
        <v>550.47245778618</v>
      </c>
      <c r="AO67" s="16" t="n">
        <v>305.723565328882</v>
      </c>
      <c r="AP67" s="16" t="n">
        <v>0</v>
      </c>
      <c r="AQ67" s="14" t="n">
        <v>293.8</v>
      </c>
      <c r="AR67" s="14" t="s">
        <v>256</v>
      </c>
      <c r="AS67" s="29"/>
      <c r="AT67" s="14" t="n">
        <v>222.262547194441</v>
      </c>
      <c r="AU67" s="17" t="n">
        <v>2.4766766364133</v>
      </c>
      <c r="AV67" s="17" t="n">
        <v>6.40481867691354</v>
      </c>
      <c r="AW67" s="16" t="n">
        <v>0</v>
      </c>
      <c r="AX67" s="14" t="s">
        <v>257</v>
      </c>
      <c r="AY67" s="14" t="s">
        <v>257</v>
      </c>
      <c r="AZ67" s="14" t="s">
        <v>258</v>
      </c>
      <c r="BA67" s="14" t="s">
        <v>259</v>
      </c>
      <c r="BB67" s="14" t="s">
        <v>340</v>
      </c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</row>
    <row r="68" customFormat="false" ht="15" hidden="false" customHeight="false" outlineLevel="0" collapsed="false">
      <c r="C68" s="14" t="s">
        <v>62</v>
      </c>
      <c r="D68" s="14" t="s">
        <v>251</v>
      </c>
      <c r="E68" s="14" t="s">
        <v>341</v>
      </c>
      <c r="F68" s="14" t="s">
        <v>335</v>
      </c>
      <c r="G68" s="29" t="n">
        <v>47058</v>
      </c>
      <c r="H68" s="29" t="n">
        <v>47149</v>
      </c>
      <c r="I68" s="14" t="s">
        <v>342</v>
      </c>
      <c r="J68" s="14" t="s">
        <v>303</v>
      </c>
      <c r="K68" s="14" t="n">
        <v>92</v>
      </c>
      <c r="L68" s="16" t="n">
        <v>400.00399710014</v>
      </c>
      <c r="M68" s="30" t="n">
        <v>22.9096754759419</v>
      </c>
      <c r="N68" s="16" t="n">
        <v>32.0226218946362</v>
      </c>
      <c r="O68" s="16" t="n">
        <v>-22.5170250047611</v>
      </c>
      <c r="P68" s="16" t="n">
        <v>-2.37639922246877</v>
      </c>
      <c r="Q68" s="16" t="n">
        <v>0.00152518350547968</v>
      </c>
      <c r="R68" s="16" t="n">
        <v>-14.0001398985049</v>
      </c>
      <c r="S68" s="16" t="n">
        <v>0</v>
      </c>
      <c r="T68" s="16" t="n">
        <v>15.647607957168</v>
      </c>
      <c r="U68" s="16" t="n">
        <v>36.9235653288816</v>
      </c>
      <c r="V68" s="16" t="n">
        <v>26.1850236012866</v>
      </c>
      <c r="W68" s="16" t="n">
        <v>487.85345778618</v>
      </c>
      <c r="X68" s="16" t="n">
        <v>11.90625</v>
      </c>
      <c r="Y68" s="16" t="n">
        <v>11.90625</v>
      </c>
      <c r="Z68" s="16" t="n">
        <v>0</v>
      </c>
      <c r="AA68" s="16" t="n">
        <v>0</v>
      </c>
      <c r="AB68" s="16" t="n">
        <v>0</v>
      </c>
      <c r="AC68" s="16" t="n">
        <v>475.94720778618</v>
      </c>
      <c r="AD68" s="16" t="n">
        <v>0</v>
      </c>
      <c r="AE68" s="16" t="n">
        <v>0</v>
      </c>
      <c r="AF68" s="16" t="n">
        <v>0</v>
      </c>
      <c r="AG68" s="16" t="n">
        <v>0</v>
      </c>
      <c r="AH68" s="16" t="n">
        <v>7.98039968476301</v>
      </c>
      <c r="AI68" s="16" t="n">
        <v>7.98039968476301</v>
      </c>
      <c r="AJ68" s="16" t="n">
        <v>1.6245</v>
      </c>
      <c r="AK68" s="16" t="n">
        <v>3.625</v>
      </c>
      <c r="AL68" s="16" t="n">
        <v>1.25</v>
      </c>
      <c r="AM68" s="16" t="n">
        <v>0</v>
      </c>
      <c r="AN68" s="16" t="n">
        <v>538.56620778618</v>
      </c>
      <c r="AO68" s="16" t="n">
        <v>294.985023601287</v>
      </c>
      <c r="AP68" s="16" t="n">
        <v>0</v>
      </c>
      <c r="AQ68" s="14" t="n">
        <v>293.8</v>
      </c>
      <c r="AR68" s="14" t="s">
        <v>256</v>
      </c>
      <c r="AS68" s="29"/>
      <c r="AT68" s="14" t="n">
        <v>222.261746608879</v>
      </c>
      <c r="AU68" s="17" t="n">
        <v>2.42311696008541</v>
      </c>
      <c r="AV68" s="17" t="n">
        <v>6.5945998623303</v>
      </c>
      <c r="AW68" s="16" t="n">
        <v>0</v>
      </c>
      <c r="AX68" s="14" t="s">
        <v>257</v>
      </c>
      <c r="AY68" s="14" t="s">
        <v>257</v>
      </c>
      <c r="AZ68" s="14" t="s">
        <v>258</v>
      </c>
      <c r="BA68" s="14" t="s">
        <v>259</v>
      </c>
      <c r="BB68" s="14" t="s">
        <v>343</v>
      </c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</row>
    <row r="69" customFormat="false" ht="15" hidden="false" customHeight="false" outlineLevel="0" collapsed="false">
      <c r="C69" s="14" t="s">
        <v>62</v>
      </c>
      <c r="D69" s="14" t="s">
        <v>251</v>
      </c>
      <c r="E69" s="14" t="s">
        <v>344</v>
      </c>
      <c r="F69" s="14" t="s">
        <v>335</v>
      </c>
      <c r="G69" s="29" t="n">
        <v>47150</v>
      </c>
      <c r="H69" s="29" t="n">
        <v>47238</v>
      </c>
      <c r="I69" s="14" t="s">
        <v>342</v>
      </c>
      <c r="J69" s="14" t="s">
        <v>255</v>
      </c>
      <c r="K69" s="14" t="n">
        <v>89</v>
      </c>
      <c r="L69" s="16" t="n">
        <v>452.432753896764</v>
      </c>
      <c r="M69" s="30" t="n">
        <v>28.8693217195837</v>
      </c>
      <c r="N69" s="16" t="n">
        <v>63.1832372137017</v>
      </c>
      <c r="O69" s="16" t="n">
        <v>-25.4683445823567</v>
      </c>
      <c r="P69" s="16" t="n">
        <v>-9.42872315783627</v>
      </c>
      <c r="Q69" s="16" t="n">
        <v>0.00165732670964526</v>
      </c>
      <c r="R69" s="16" t="n">
        <v>-15.8351463863867</v>
      </c>
      <c r="S69" s="16" t="n">
        <v>0</v>
      </c>
      <c r="T69" s="16" t="n">
        <v>37.9210249961884</v>
      </c>
      <c r="U69" s="16" t="n">
        <v>26.1850236012866</v>
      </c>
      <c r="V69" s="16" t="n">
        <v>37.915459068962</v>
      </c>
      <c r="W69" s="16" t="n">
        <v>475.94720778618</v>
      </c>
      <c r="X69" s="16" t="n">
        <v>11.90625</v>
      </c>
      <c r="Y69" s="16" t="n">
        <v>11.90625</v>
      </c>
      <c r="Z69" s="16" t="n">
        <v>0</v>
      </c>
      <c r="AA69" s="16" t="n">
        <v>0</v>
      </c>
      <c r="AB69" s="16" t="n">
        <v>0</v>
      </c>
      <c r="AC69" s="16" t="n">
        <v>464.04095778618</v>
      </c>
      <c r="AD69" s="16" t="n">
        <v>0</v>
      </c>
      <c r="AE69" s="16" t="n">
        <v>0</v>
      </c>
      <c r="AF69" s="16" t="n">
        <v>0</v>
      </c>
      <c r="AG69" s="16" t="n">
        <v>0</v>
      </c>
      <c r="AH69" s="16" t="n">
        <v>7.78483952851301</v>
      </c>
      <c r="AI69" s="16" t="n">
        <v>7.78483952851301</v>
      </c>
      <c r="AJ69" s="16" t="n">
        <v>1.6245</v>
      </c>
      <c r="AK69" s="16" t="n">
        <v>3.625</v>
      </c>
      <c r="AL69" s="16" t="n">
        <v>1.25</v>
      </c>
      <c r="AM69" s="16" t="n">
        <v>0</v>
      </c>
      <c r="AN69" s="16" t="n">
        <v>526.65995778618</v>
      </c>
      <c r="AO69" s="16" t="n">
        <v>302.853054304053</v>
      </c>
      <c r="AP69" s="16" t="n">
        <v>0</v>
      </c>
      <c r="AQ69" s="14" t="n">
        <v>293.8</v>
      </c>
      <c r="AR69" s="14" t="s">
        <v>256</v>
      </c>
      <c r="AS69" s="29"/>
      <c r="AT69" s="14" t="n">
        <v>222.260166988458</v>
      </c>
      <c r="AU69" s="17" t="n">
        <v>2.36956520334806</v>
      </c>
      <c r="AV69" s="17" t="n">
        <v>6.79603085356029</v>
      </c>
      <c r="AW69" s="16" t="n">
        <v>0</v>
      </c>
      <c r="AX69" s="14" t="s">
        <v>257</v>
      </c>
      <c r="AY69" s="14" t="s">
        <v>257</v>
      </c>
      <c r="AZ69" s="14" t="s">
        <v>258</v>
      </c>
      <c r="BA69" s="14" t="s">
        <v>259</v>
      </c>
      <c r="BB69" s="14" t="s">
        <v>345</v>
      </c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</row>
    <row r="70" customFormat="false" ht="15" hidden="false" customHeight="false" outlineLevel="0" collapsed="false">
      <c r="C70" s="14" t="s">
        <v>62</v>
      </c>
      <c r="D70" s="14" t="s">
        <v>251</v>
      </c>
      <c r="E70" s="14" t="s">
        <v>346</v>
      </c>
      <c r="F70" s="14" t="s">
        <v>335</v>
      </c>
      <c r="G70" s="29" t="n">
        <v>47239</v>
      </c>
      <c r="H70" s="29" t="n">
        <v>47330</v>
      </c>
      <c r="I70" s="14" t="s">
        <v>342</v>
      </c>
      <c r="J70" s="14" t="s">
        <v>271</v>
      </c>
      <c r="K70" s="14" t="n">
        <v>92</v>
      </c>
      <c r="L70" s="16" t="n">
        <v>495.223474557243</v>
      </c>
      <c r="M70" s="30" t="n">
        <v>27.6901735836919</v>
      </c>
      <c r="N70" s="16" t="n">
        <v>63.3196378606049</v>
      </c>
      <c r="O70" s="16" t="n">
        <v>-27.8771198297763</v>
      </c>
      <c r="P70" s="16" t="n">
        <v>-8.86062950770715</v>
      </c>
      <c r="Q70" s="16" t="n">
        <v>0.00182875074658537</v>
      </c>
      <c r="R70" s="16" t="n">
        <v>-17.3328216095035</v>
      </c>
      <c r="S70" s="16" t="n">
        <v>0</v>
      </c>
      <c r="T70" s="16" t="n">
        <v>37.1280154941409</v>
      </c>
      <c r="U70" s="16" t="n">
        <v>37.915459068962</v>
      </c>
      <c r="V70" s="16" t="n">
        <v>49.0484451908398</v>
      </c>
      <c r="W70" s="16" t="n">
        <v>464.04095778618</v>
      </c>
      <c r="X70" s="16" t="n">
        <v>11.90625</v>
      </c>
      <c r="Y70" s="16" t="n">
        <v>11.90625</v>
      </c>
      <c r="Z70" s="16" t="n">
        <v>0</v>
      </c>
      <c r="AA70" s="16" t="n">
        <v>0</v>
      </c>
      <c r="AB70" s="16" t="n">
        <v>0</v>
      </c>
      <c r="AC70" s="16" t="n">
        <v>452.13470778618</v>
      </c>
      <c r="AD70" s="16" t="n">
        <v>0</v>
      </c>
      <c r="AE70" s="16" t="n">
        <v>0</v>
      </c>
      <c r="AF70" s="16" t="n">
        <v>0</v>
      </c>
      <c r="AG70" s="16" t="n">
        <v>0</v>
      </c>
      <c r="AH70" s="16" t="n">
        <v>7.58927937226301</v>
      </c>
      <c r="AI70" s="16" t="n">
        <v>7.58927937226301</v>
      </c>
      <c r="AJ70" s="16" t="n">
        <v>1.6245</v>
      </c>
      <c r="AK70" s="16" t="n">
        <v>3.625</v>
      </c>
      <c r="AL70" s="16" t="n">
        <v>1.25</v>
      </c>
      <c r="AM70" s="16" t="n">
        <v>0</v>
      </c>
      <c r="AN70" s="16" t="n">
        <v>514.75370778618</v>
      </c>
      <c r="AO70" s="16" t="n">
        <v>314.384339989796</v>
      </c>
      <c r="AP70" s="16" t="n">
        <v>0</v>
      </c>
      <c r="AQ70" s="14" t="n">
        <v>293.8</v>
      </c>
      <c r="AR70" s="14" t="s">
        <v>256</v>
      </c>
      <c r="AS70" s="29"/>
      <c r="AT70" s="14" t="n">
        <v>222.258583957936</v>
      </c>
      <c r="AU70" s="17" t="n">
        <v>2.3160127209467</v>
      </c>
      <c r="AV70" s="17" t="n">
        <v>7.00549458720617</v>
      </c>
      <c r="AW70" s="16" t="n">
        <v>0</v>
      </c>
      <c r="AX70" s="14" t="s">
        <v>257</v>
      </c>
      <c r="AY70" s="14" t="s">
        <v>257</v>
      </c>
      <c r="AZ70" s="14" t="s">
        <v>258</v>
      </c>
      <c r="BA70" s="14" t="s">
        <v>259</v>
      </c>
      <c r="BB70" s="14" t="s">
        <v>347</v>
      </c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</row>
    <row r="71" customFormat="false" ht="15" hidden="false" customHeight="false" outlineLevel="0" collapsed="false">
      <c r="C71" s="14" t="s">
        <v>62</v>
      </c>
      <c r="D71" s="14" t="s">
        <v>251</v>
      </c>
      <c r="E71" s="14" t="s">
        <v>348</v>
      </c>
      <c r="F71" s="14" t="s">
        <v>335</v>
      </c>
      <c r="G71" s="29" t="n">
        <v>47331</v>
      </c>
      <c r="H71" s="29" t="n">
        <v>47422</v>
      </c>
      <c r="I71" s="14" t="s">
        <v>342</v>
      </c>
      <c r="J71" s="14" t="s">
        <v>288</v>
      </c>
      <c r="K71" s="14" t="n">
        <v>92</v>
      </c>
      <c r="L71" s="16" t="n">
        <v>489.797017236892</v>
      </c>
      <c r="M71" s="30" t="n">
        <v>27.9159174302794</v>
      </c>
      <c r="N71" s="16" t="n">
        <v>63.7314936618185</v>
      </c>
      <c r="O71" s="16" t="n">
        <v>-27.5716536942991</v>
      </c>
      <c r="P71" s="16" t="n">
        <v>-9.03995999187983</v>
      </c>
      <c r="Q71" s="16" t="n">
        <v>0.00180593326573163</v>
      </c>
      <c r="R71" s="16" t="n">
        <v>-17.1428956032912</v>
      </c>
      <c r="S71" s="16" t="n">
        <v>0</v>
      </c>
      <c r="T71" s="16" t="n">
        <v>37.5504439999131</v>
      </c>
      <c r="U71" s="16" t="n">
        <v>49.0484451908398</v>
      </c>
      <c r="V71" s="16" t="n">
        <v>42.89970998737</v>
      </c>
      <c r="W71" s="16" t="n">
        <v>452.13470778618</v>
      </c>
      <c r="X71" s="16" t="n">
        <v>11.90625</v>
      </c>
      <c r="Y71" s="16" t="n">
        <v>11.90625</v>
      </c>
      <c r="Z71" s="16" t="n">
        <v>17.89970998737</v>
      </c>
      <c r="AA71" s="16" t="n">
        <v>0</v>
      </c>
      <c r="AB71" s="16" t="n">
        <v>0</v>
      </c>
      <c r="AC71" s="16" t="n">
        <v>422.32874779881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7.39371921601301</v>
      </c>
      <c r="AI71" s="16" t="n">
        <v>7.39371921601301</v>
      </c>
      <c r="AJ71" s="16" t="n">
        <v>1.6245</v>
      </c>
      <c r="AK71" s="16" t="n">
        <v>3.625</v>
      </c>
      <c r="AL71" s="16" t="n">
        <v>1.25</v>
      </c>
      <c r="AM71" s="16" t="n">
        <v>0</v>
      </c>
      <c r="AN71" s="16" t="n">
        <v>484.94774779881</v>
      </c>
      <c r="AO71" s="16" t="n">
        <v>311.69970998737</v>
      </c>
      <c r="AP71" s="16" t="n">
        <v>0</v>
      </c>
      <c r="AQ71" s="14" t="n">
        <v>293.8</v>
      </c>
      <c r="AR71" s="14" t="s">
        <v>256</v>
      </c>
      <c r="AS71" s="29"/>
      <c r="AT71" s="14" t="n">
        <v>222.256990630761</v>
      </c>
      <c r="AU71" s="17" t="n">
        <v>2.18192348606241</v>
      </c>
      <c r="AV71" s="17" t="n">
        <v>7.22828384719799</v>
      </c>
      <c r="AW71" s="16" t="n">
        <v>0</v>
      </c>
      <c r="AX71" s="14" t="s">
        <v>257</v>
      </c>
      <c r="AY71" s="14" t="s">
        <v>257</v>
      </c>
      <c r="AZ71" s="14" t="s">
        <v>258</v>
      </c>
      <c r="BA71" s="14" t="s">
        <v>259</v>
      </c>
      <c r="BB71" s="14" t="s">
        <v>349</v>
      </c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</row>
    <row r="72" customFormat="false" ht="15" hidden="false" customHeight="false" outlineLevel="0" collapsed="false">
      <c r="C72" s="14" t="s">
        <v>62</v>
      </c>
      <c r="D72" s="14" t="s">
        <v>251</v>
      </c>
      <c r="E72" s="14" t="s">
        <v>350</v>
      </c>
      <c r="F72" s="14" t="s">
        <v>335</v>
      </c>
      <c r="G72" s="29" t="n">
        <v>47423</v>
      </c>
      <c r="H72" s="29" t="n">
        <v>47514</v>
      </c>
      <c r="I72" s="14" t="s">
        <v>351</v>
      </c>
      <c r="J72" s="14" t="s">
        <v>303</v>
      </c>
      <c r="K72" s="14" t="n">
        <v>92</v>
      </c>
      <c r="L72" s="16" t="n">
        <v>399.993997000213</v>
      </c>
      <c r="M72" s="30" t="n">
        <v>22.9096754759419</v>
      </c>
      <c r="N72" s="16" t="n">
        <v>32.0218213290888</v>
      </c>
      <c r="O72" s="16" t="n">
        <v>-22.516462079136</v>
      </c>
      <c r="P72" s="16" t="n">
        <v>-2.37633981248821</v>
      </c>
      <c r="Q72" s="16" t="n">
        <v>0.00152514537589204</v>
      </c>
      <c r="R72" s="16" t="n">
        <v>-13.9997898950074</v>
      </c>
      <c r="S72" s="16" t="n">
        <v>0</v>
      </c>
      <c r="T72" s="16" t="n">
        <v>15.6472167669691</v>
      </c>
      <c r="U72" s="16" t="n">
        <v>42.89970998737</v>
      </c>
      <c r="V72" s="16" t="n">
        <v>33.3250204311185</v>
      </c>
      <c r="W72" s="16" t="n">
        <v>422.32874779881</v>
      </c>
      <c r="X72" s="16" t="n">
        <v>11.90625</v>
      </c>
      <c r="Y72" s="16" t="n">
        <v>11.90625</v>
      </c>
      <c r="Z72" s="16" t="n">
        <v>0</v>
      </c>
      <c r="AA72" s="16" t="n">
        <v>0</v>
      </c>
      <c r="AB72" s="16" t="n">
        <v>0</v>
      </c>
      <c r="AC72" s="16" t="n">
        <v>410.42249779881</v>
      </c>
      <c r="AD72" s="16" t="n">
        <v>0</v>
      </c>
      <c r="AE72" s="16" t="n">
        <v>0</v>
      </c>
      <c r="AF72" s="16" t="n">
        <v>0</v>
      </c>
      <c r="AG72" s="16" t="n">
        <v>0</v>
      </c>
      <c r="AH72" s="16" t="n">
        <v>6.90415632322046</v>
      </c>
      <c r="AI72" s="16" t="n">
        <v>6.90415632322046</v>
      </c>
      <c r="AJ72" s="16" t="n">
        <v>1.5365</v>
      </c>
      <c r="AK72" s="16" t="n">
        <v>3.625</v>
      </c>
      <c r="AL72" s="16" t="n">
        <v>1.25</v>
      </c>
      <c r="AM72" s="16" t="n">
        <v>0</v>
      </c>
      <c r="AN72" s="16" t="n">
        <v>473.04149779881</v>
      </c>
      <c r="AO72" s="16" t="n">
        <v>302.125020431119</v>
      </c>
      <c r="AP72" s="16" t="n">
        <v>0</v>
      </c>
      <c r="AQ72" s="14" t="n">
        <v>293.8</v>
      </c>
      <c r="AR72" s="14" t="s">
        <v>256</v>
      </c>
      <c r="AS72" s="29"/>
      <c r="AT72" s="14" t="n">
        <v>222.256190065214</v>
      </c>
      <c r="AU72" s="17" t="n">
        <v>2.12836140878691</v>
      </c>
      <c r="AV72" s="17" t="n">
        <v>7.49043649608957</v>
      </c>
      <c r="AW72" s="16" t="n">
        <v>0</v>
      </c>
      <c r="AX72" s="14" t="s">
        <v>257</v>
      </c>
      <c r="AY72" s="14" t="s">
        <v>257</v>
      </c>
      <c r="AZ72" s="14" t="s">
        <v>258</v>
      </c>
      <c r="BA72" s="14" t="s">
        <v>259</v>
      </c>
      <c r="BB72" s="14" t="s">
        <v>352</v>
      </c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</row>
    <row r="73" customFormat="false" ht="15" hidden="false" customHeight="false" outlineLevel="0" collapsed="false">
      <c r="C73" s="14" t="s">
        <v>62</v>
      </c>
      <c r="D73" s="14" t="s">
        <v>251</v>
      </c>
      <c r="E73" s="14" t="s">
        <v>353</v>
      </c>
      <c r="F73" s="14" t="s">
        <v>335</v>
      </c>
      <c r="G73" s="29" t="n">
        <v>47515</v>
      </c>
      <c r="H73" s="29" t="n">
        <v>47603</v>
      </c>
      <c r="I73" s="14" t="s">
        <v>351</v>
      </c>
      <c r="J73" s="14" t="s">
        <v>255</v>
      </c>
      <c r="K73" s="14" t="n">
        <v>89</v>
      </c>
      <c r="L73" s="16" t="n">
        <v>452.421443077917</v>
      </c>
      <c r="M73" s="30" t="n">
        <v>28.8693217195837</v>
      </c>
      <c r="N73" s="16" t="n">
        <v>63.1816576327714</v>
      </c>
      <c r="O73" s="16" t="n">
        <v>-25.4677078737421</v>
      </c>
      <c r="P73" s="16" t="n">
        <v>-9.42848743975732</v>
      </c>
      <c r="Q73" s="16" t="n">
        <v>0.00165728527647751</v>
      </c>
      <c r="R73" s="16" t="n">
        <v>-15.8347505077271</v>
      </c>
      <c r="S73" s="16" t="n">
        <v>0</v>
      </c>
      <c r="T73" s="16" t="n">
        <v>37.9200769705635</v>
      </c>
      <c r="U73" s="16" t="n">
        <v>33.3250204311185</v>
      </c>
      <c r="V73" s="16" t="n">
        <v>46.2187512347115</v>
      </c>
      <c r="W73" s="16" t="n">
        <v>410.42249779881</v>
      </c>
      <c r="X73" s="16" t="n">
        <v>11.90625</v>
      </c>
      <c r="Y73" s="16" t="n">
        <v>11.90625</v>
      </c>
      <c r="Z73" s="16" t="n">
        <v>0</v>
      </c>
      <c r="AA73" s="16" t="n">
        <v>0</v>
      </c>
      <c r="AB73" s="16" t="n">
        <v>0</v>
      </c>
      <c r="AC73" s="16" t="n">
        <v>398.51624779881</v>
      </c>
      <c r="AD73" s="16" t="n">
        <v>0</v>
      </c>
      <c r="AE73" s="16" t="n">
        <v>0</v>
      </c>
      <c r="AF73" s="16" t="n">
        <v>0</v>
      </c>
      <c r="AG73" s="16" t="n">
        <v>0</v>
      </c>
      <c r="AH73" s="16" t="n">
        <v>6.70859616697046</v>
      </c>
      <c r="AI73" s="16" t="n">
        <v>6.70859616697046</v>
      </c>
      <c r="AJ73" s="16" t="n">
        <v>1.5365</v>
      </c>
      <c r="AK73" s="16" t="n">
        <v>3.625</v>
      </c>
      <c r="AL73" s="16" t="n">
        <v>1.25</v>
      </c>
      <c r="AM73" s="16" t="n">
        <v>0</v>
      </c>
      <c r="AN73" s="16" t="n">
        <v>461.13524779881</v>
      </c>
      <c r="AO73" s="16" t="n">
        <v>310.380816245858</v>
      </c>
      <c r="AP73" s="16" t="n">
        <v>0</v>
      </c>
      <c r="AQ73" s="14" t="n">
        <v>293.8</v>
      </c>
      <c r="AR73" s="14" t="s">
        <v>256</v>
      </c>
      <c r="AS73" s="29"/>
      <c r="AT73" s="14" t="n">
        <v>222.254610484284</v>
      </c>
      <c r="AU73" s="17" t="n">
        <v>2.07480621794084</v>
      </c>
      <c r="AV73" s="17" t="n">
        <v>7.77229490753418</v>
      </c>
      <c r="AW73" s="16" t="n">
        <v>0</v>
      </c>
      <c r="AX73" s="14" t="s">
        <v>257</v>
      </c>
      <c r="AY73" s="14" t="s">
        <v>257</v>
      </c>
      <c r="AZ73" s="14" t="s">
        <v>258</v>
      </c>
      <c r="BA73" s="14" t="s">
        <v>259</v>
      </c>
      <c r="BB73" s="14" t="s">
        <v>354</v>
      </c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</row>
    <row r="74" customFormat="false" ht="15" hidden="false" customHeight="false" outlineLevel="0" collapsed="false">
      <c r="C74" s="14" t="s">
        <v>62</v>
      </c>
      <c r="D74" s="14" t="s">
        <v>251</v>
      </c>
      <c r="E74" s="14" t="s">
        <v>355</v>
      </c>
      <c r="F74" s="14" t="s">
        <v>335</v>
      </c>
      <c r="G74" s="29" t="n">
        <v>47604</v>
      </c>
      <c r="H74" s="29" t="n">
        <v>47695</v>
      </c>
      <c r="I74" s="14" t="s">
        <v>351</v>
      </c>
      <c r="J74" s="14" t="s">
        <v>271</v>
      </c>
      <c r="K74" s="14" t="n">
        <v>92</v>
      </c>
      <c r="L74" s="16" t="n">
        <v>495.211093970379</v>
      </c>
      <c r="M74" s="30" t="n">
        <v>27.6901735836919</v>
      </c>
      <c r="N74" s="16" t="n">
        <v>63.3180548696584</v>
      </c>
      <c r="O74" s="16" t="n">
        <v>-27.8764229017806</v>
      </c>
      <c r="P74" s="16" t="n">
        <v>-8.86040799196946</v>
      </c>
      <c r="Q74" s="16" t="n">
        <v>0.00182870502781671</v>
      </c>
      <c r="R74" s="16" t="n">
        <v>-17.3323882889633</v>
      </c>
      <c r="S74" s="16" t="n">
        <v>0</v>
      </c>
      <c r="T74" s="16" t="n">
        <v>37.1270872937535</v>
      </c>
      <c r="U74" s="16" t="n">
        <v>46.2187512347115</v>
      </c>
      <c r="V74" s="16" t="n">
        <v>58.5150525177446</v>
      </c>
      <c r="W74" s="16" t="n">
        <v>398.51624779881</v>
      </c>
      <c r="X74" s="16" t="n">
        <v>11.90625</v>
      </c>
      <c r="Y74" s="16" t="n">
        <v>11.90625</v>
      </c>
      <c r="Z74" s="16" t="n">
        <v>0</v>
      </c>
      <c r="AA74" s="16" t="n">
        <v>0</v>
      </c>
      <c r="AB74" s="16" t="n">
        <v>0</v>
      </c>
      <c r="AC74" s="16" t="n">
        <v>386.60999779881</v>
      </c>
      <c r="AD74" s="16" t="n">
        <v>0</v>
      </c>
      <c r="AE74" s="16" t="n">
        <v>0</v>
      </c>
      <c r="AF74" s="16" t="n">
        <v>0</v>
      </c>
      <c r="AG74" s="16" t="n">
        <v>0</v>
      </c>
      <c r="AH74" s="16" t="n">
        <v>6.51303601072046</v>
      </c>
      <c r="AI74" s="16" t="n">
        <v>6.51303601072046</v>
      </c>
      <c r="AJ74" s="16" t="n">
        <v>1.5365</v>
      </c>
      <c r="AK74" s="16" t="n">
        <v>3.625</v>
      </c>
      <c r="AL74" s="16" t="n">
        <v>1.25</v>
      </c>
      <c r="AM74" s="16" t="n">
        <v>0</v>
      </c>
      <c r="AN74" s="16" t="n">
        <v>449.22899779881</v>
      </c>
      <c r="AO74" s="16" t="n">
        <v>323.075403875931</v>
      </c>
      <c r="AP74" s="16" t="n">
        <v>0</v>
      </c>
      <c r="AQ74" s="14" t="n">
        <v>293.8</v>
      </c>
      <c r="AR74" s="14" t="s">
        <v>256</v>
      </c>
      <c r="AS74" s="29"/>
      <c r="AT74" s="14" t="n">
        <v>222.253027493337</v>
      </c>
      <c r="AU74" s="17" t="n">
        <v>2.02125029685941</v>
      </c>
      <c r="AV74" s="17" t="n">
        <v>8.07619924671299</v>
      </c>
      <c r="AW74" s="16" t="n">
        <v>0</v>
      </c>
      <c r="AX74" s="14" t="s">
        <v>257</v>
      </c>
      <c r="AY74" s="14" t="s">
        <v>257</v>
      </c>
      <c r="AZ74" s="14" t="s">
        <v>258</v>
      </c>
      <c r="BA74" s="14" t="s">
        <v>259</v>
      </c>
      <c r="BB74" s="14" t="s">
        <v>356</v>
      </c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</row>
    <row r="75" customFormat="false" ht="15" hidden="false" customHeight="false" outlineLevel="0" collapsed="false">
      <c r="C75" s="14" t="s">
        <v>62</v>
      </c>
      <c r="D75" s="14" t="s">
        <v>251</v>
      </c>
      <c r="E75" s="14" t="s">
        <v>357</v>
      </c>
      <c r="F75" s="14" t="s">
        <v>335</v>
      </c>
      <c r="G75" s="29" t="n">
        <v>47696</v>
      </c>
      <c r="H75" s="29" t="n">
        <v>47787</v>
      </c>
      <c r="I75" s="14" t="s">
        <v>351</v>
      </c>
      <c r="J75" s="14" t="s">
        <v>288</v>
      </c>
      <c r="K75" s="14" t="n">
        <v>92</v>
      </c>
      <c r="L75" s="16" t="n">
        <v>489.784772311461</v>
      </c>
      <c r="M75" s="30" t="n">
        <v>27.9159174302794</v>
      </c>
      <c r="N75" s="16" t="n">
        <v>63.7299003744769</v>
      </c>
      <c r="O75" s="16" t="n">
        <v>-27.5709644029568</v>
      </c>
      <c r="P75" s="16" t="n">
        <v>-9.03973399288004</v>
      </c>
      <c r="Q75" s="16" t="n">
        <v>0.00180588811739999</v>
      </c>
      <c r="R75" s="16" t="n">
        <v>-17.1424670309011</v>
      </c>
      <c r="S75" s="16" t="n">
        <v>0</v>
      </c>
      <c r="T75" s="16" t="n">
        <v>37.5495052388131</v>
      </c>
      <c r="U75" s="16" t="n">
        <v>58.5150525177446</v>
      </c>
      <c r="V75" s="16" t="n">
        <v>48.2146659510436</v>
      </c>
      <c r="W75" s="16" t="n">
        <v>386.60999779881</v>
      </c>
      <c r="X75" s="16" t="n">
        <v>11.90625</v>
      </c>
      <c r="Y75" s="16" t="n">
        <v>11.90625</v>
      </c>
      <c r="Z75" s="16" t="n">
        <v>23.2146659510436</v>
      </c>
      <c r="AA75" s="16" t="n">
        <v>0</v>
      </c>
      <c r="AB75" s="16" t="n">
        <v>0</v>
      </c>
      <c r="AC75" s="16" t="n">
        <v>351.489081847767</v>
      </c>
      <c r="AD75" s="16" t="n">
        <v>0</v>
      </c>
      <c r="AE75" s="16" t="n">
        <v>0</v>
      </c>
      <c r="AF75" s="16" t="n">
        <v>0</v>
      </c>
      <c r="AG75" s="16" t="n">
        <v>0</v>
      </c>
      <c r="AH75" s="16" t="n">
        <v>6.31747585447046</v>
      </c>
      <c r="AI75" s="16" t="n">
        <v>6.31747585447046</v>
      </c>
      <c r="AJ75" s="16" t="n">
        <v>1.5365</v>
      </c>
      <c r="AK75" s="16" t="n">
        <v>3.625</v>
      </c>
      <c r="AL75" s="16" t="n">
        <v>1.25</v>
      </c>
      <c r="AM75" s="16" t="n">
        <v>0</v>
      </c>
      <c r="AN75" s="16" t="n">
        <v>414.108081847767</v>
      </c>
      <c r="AO75" s="16" t="n">
        <v>317.014665951044</v>
      </c>
      <c r="AP75" s="16" t="n">
        <v>0</v>
      </c>
      <c r="AQ75" s="14" t="n">
        <v>293.8</v>
      </c>
      <c r="AR75" s="14" t="s">
        <v>256</v>
      </c>
      <c r="AS75" s="29"/>
      <c r="AT75" s="14" t="n">
        <v>222.251434205996</v>
      </c>
      <c r="AU75" s="17" t="n">
        <v>1.86324143791103</v>
      </c>
      <c r="AV75" s="17" t="n">
        <v>8.40484106723995</v>
      </c>
      <c r="AW75" s="16" t="n">
        <v>0</v>
      </c>
      <c r="AX75" s="14" t="s">
        <v>257</v>
      </c>
      <c r="AY75" s="14" t="s">
        <v>257</v>
      </c>
      <c r="AZ75" s="14" t="s">
        <v>258</v>
      </c>
      <c r="BA75" s="14" t="s">
        <v>259</v>
      </c>
      <c r="BB75" s="14" t="s">
        <v>358</v>
      </c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</row>
    <row r="76" customFormat="false" ht="15" hidden="false" customHeight="false" outlineLevel="0" collapsed="false">
      <c r="C76" s="14" t="s">
        <v>62</v>
      </c>
      <c r="D76" s="14" t="s">
        <v>251</v>
      </c>
      <c r="E76" s="14" t="s">
        <v>359</v>
      </c>
      <c r="F76" s="14" t="s">
        <v>335</v>
      </c>
      <c r="G76" s="29" t="n">
        <v>47788</v>
      </c>
      <c r="H76" s="29" t="n">
        <v>47879</v>
      </c>
      <c r="I76" s="14" t="s">
        <v>360</v>
      </c>
      <c r="J76" s="14" t="s">
        <v>303</v>
      </c>
      <c r="K76" s="14" t="n">
        <v>92</v>
      </c>
      <c r="L76" s="16" t="n">
        <v>399.983997150288</v>
      </c>
      <c r="M76" s="30" t="n">
        <v>22.9096754759419</v>
      </c>
      <c r="N76" s="16" t="n">
        <v>32.0210207835556</v>
      </c>
      <c r="O76" s="16" t="n">
        <v>-22.515899167584</v>
      </c>
      <c r="P76" s="16" t="n">
        <v>-2.3762804039929</v>
      </c>
      <c r="Q76" s="16" t="n">
        <v>0.00152510724725765</v>
      </c>
      <c r="R76" s="16" t="n">
        <v>-13.9994399002601</v>
      </c>
      <c r="S76" s="16" t="n">
        <v>0</v>
      </c>
      <c r="T76" s="16" t="n">
        <v>15.6468255865499</v>
      </c>
      <c r="U76" s="16" t="n">
        <v>48.2146659510436</v>
      </c>
      <c r="V76" s="16" t="n">
        <v>25</v>
      </c>
      <c r="W76" s="16" t="n">
        <v>351.489081847767</v>
      </c>
      <c r="X76" s="16" t="n">
        <v>11.90625</v>
      </c>
      <c r="Y76" s="16" t="n">
        <v>11.90625</v>
      </c>
      <c r="Z76" s="16" t="n">
        <v>0</v>
      </c>
      <c r="AA76" s="16" t="n">
        <v>339.582831847767</v>
      </c>
      <c r="AB76" s="16" t="n">
        <v>14.8031267276189</v>
      </c>
      <c r="AC76" s="16" t="n">
        <v>324.779705120148</v>
      </c>
      <c r="AD76" s="16" t="n">
        <v>0</v>
      </c>
      <c r="AE76" s="16" t="n">
        <v>0</v>
      </c>
      <c r="AF76" s="16" t="n">
        <v>0</v>
      </c>
      <c r="AG76" s="16" t="n">
        <v>0</v>
      </c>
      <c r="AH76" s="16" t="n">
        <v>5.74061480997457</v>
      </c>
      <c r="AI76" s="16" t="n">
        <v>5.74061480997457</v>
      </c>
      <c r="AJ76" s="16" t="n">
        <v>1.5365</v>
      </c>
      <c r="AK76" s="16" t="n">
        <v>3.625</v>
      </c>
      <c r="AL76" s="16" t="n">
        <v>1.25</v>
      </c>
      <c r="AM76" s="16" t="n">
        <v>0</v>
      </c>
      <c r="AN76" s="16" t="n">
        <v>387.398705120148</v>
      </c>
      <c r="AO76" s="16" t="n">
        <v>0</v>
      </c>
      <c r="AP76" s="16" t="n">
        <v>0</v>
      </c>
      <c r="AQ76" s="14" t="n">
        <v>0</v>
      </c>
      <c r="AR76" s="14" t="s">
        <v>256</v>
      </c>
      <c r="AS76" s="29"/>
      <c r="AT76" s="14" t="n">
        <v>222.250633660462</v>
      </c>
      <c r="AU76" s="17" t="n">
        <v>1.74307131880662</v>
      </c>
      <c r="AV76" s="17" t="n">
        <v>8.79165626333598</v>
      </c>
      <c r="AW76" s="16" t="n">
        <v>324.779705120148</v>
      </c>
      <c r="AX76" s="14" t="s">
        <v>361</v>
      </c>
      <c r="AY76" s="14" t="s">
        <v>257</v>
      </c>
      <c r="AZ76" s="14" t="s">
        <v>362</v>
      </c>
      <c r="BA76" s="14" t="s">
        <v>259</v>
      </c>
      <c r="BB76" s="14" t="s">
        <v>363</v>
      </c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</row>
    <row r="77" customFormat="false" ht="15" hidden="false" customHeight="false" outlineLevel="0" collapsed="false">
      <c r="C77" s="14" t="s">
        <v>263</v>
      </c>
      <c r="D77" s="14" t="s">
        <v>264</v>
      </c>
      <c r="E77" s="14" t="s">
        <v>252</v>
      </c>
      <c r="F77" s="14" t="s">
        <v>253</v>
      </c>
      <c r="G77" s="29" t="n">
        <v>46054</v>
      </c>
      <c r="H77" s="29" t="n">
        <v>46081</v>
      </c>
      <c r="I77" s="14" t="s">
        <v>254</v>
      </c>
      <c r="J77" s="14" t="s">
        <v>255</v>
      </c>
      <c r="K77" s="14" t="n">
        <v>28</v>
      </c>
      <c r="L77" s="16" t="n">
        <v>84.61127066535</v>
      </c>
      <c r="M77" s="30" t="n">
        <v>28.8693217195837</v>
      </c>
      <c r="N77" s="16" t="n">
        <v>10.1239261348662</v>
      </c>
      <c r="O77" s="16" t="n">
        <v>-8.4900849345702</v>
      </c>
      <c r="P77" s="16" t="n">
        <v>-1.34024712164309</v>
      </c>
      <c r="Q77" s="16" t="n">
        <v>-14.6858737706374</v>
      </c>
      <c r="R77" s="16" t="n">
        <v>-2.96139447328725</v>
      </c>
      <c r="S77" s="16" t="n">
        <v>-0.44</v>
      </c>
      <c r="T77" s="16" t="n">
        <v>-9.30358923070151</v>
      </c>
      <c r="U77" s="16" t="n">
        <v>25</v>
      </c>
      <c r="V77" s="16" t="n">
        <v>25</v>
      </c>
      <c r="W77" s="16" t="n">
        <v>635</v>
      </c>
      <c r="X77" s="16" t="n">
        <v>0</v>
      </c>
      <c r="Y77" s="16" t="n">
        <v>0</v>
      </c>
      <c r="Z77" s="16" t="n">
        <v>0</v>
      </c>
      <c r="AA77" s="16" t="n">
        <v>0</v>
      </c>
      <c r="AB77" s="16" t="n">
        <v>0</v>
      </c>
      <c r="AC77" s="16" t="n">
        <v>635</v>
      </c>
      <c r="AD77" s="16" t="n">
        <v>29.89771875</v>
      </c>
      <c r="AE77" s="16" t="n">
        <v>15.8689556708278</v>
      </c>
      <c r="AF77" s="16" t="n">
        <v>0</v>
      </c>
      <c r="AG77" s="16" t="n">
        <v>45.7666744208278</v>
      </c>
      <c r="AH77" s="16" t="n">
        <v>4.24444977345964</v>
      </c>
      <c r="AI77" s="16" t="n">
        <v>4.24444977345964</v>
      </c>
      <c r="AJ77" s="16" t="n">
        <v>0.695916666666667</v>
      </c>
      <c r="AK77" s="16" t="n">
        <v>1.20833333333333</v>
      </c>
      <c r="AL77" s="16" t="n">
        <v>0.416666666666667</v>
      </c>
      <c r="AM77" s="16" t="n">
        <v>0</v>
      </c>
      <c r="AN77" s="16" t="n">
        <v>743.385674420828</v>
      </c>
      <c r="AO77" s="16" t="n">
        <v>248.033325579172</v>
      </c>
      <c r="AP77" s="16" t="n">
        <v>45.7666744208278</v>
      </c>
      <c r="AQ77" s="14" t="n">
        <v>248.033325579172</v>
      </c>
      <c r="AR77" s="14" t="s">
        <v>256</v>
      </c>
      <c r="AS77" s="29"/>
      <c r="AT77" s="14"/>
      <c r="AU77" s="17"/>
      <c r="AV77" s="17"/>
      <c r="AW77" s="16" t="n">
        <v>0</v>
      </c>
      <c r="AX77" s="14" t="s">
        <v>257</v>
      </c>
      <c r="AY77" s="14" t="s">
        <v>257</v>
      </c>
      <c r="AZ77" s="14" t="s">
        <v>258</v>
      </c>
      <c r="BA77" s="14" t="s">
        <v>259</v>
      </c>
      <c r="BB77" s="14" t="s">
        <v>364</v>
      </c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</row>
    <row r="78" customFormat="false" ht="15" hidden="false" customHeight="false" outlineLevel="0" collapsed="false">
      <c r="C78" s="14" t="s">
        <v>263</v>
      </c>
      <c r="D78" s="14" t="s">
        <v>264</v>
      </c>
      <c r="E78" s="14" t="s">
        <v>261</v>
      </c>
      <c r="F78" s="14" t="s">
        <v>253</v>
      </c>
      <c r="G78" s="29" t="n">
        <v>46082</v>
      </c>
      <c r="H78" s="29" t="n">
        <v>46112</v>
      </c>
      <c r="I78" s="14" t="s">
        <v>254</v>
      </c>
      <c r="J78" s="14" t="s">
        <v>255</v>
      </c>
      <c r="K78" s="14" t="n">
        <v>31</v>
      </c>
      <c r="L78" s="16" t="n">
        <v>126.916905998025</v>
      </c>
      <c r="M78" s="30" t="n">
        <v>28.8693217195837</v>
      </c>
      <c r="N78" s="16" t="n">
        <v>15.1858892022994</v>
      </c>
      <c r="O78" s="16" t="n">
        <v>-8.4900849345702</v>
      </c>
      <c r="P78" s="16" t="n">
        <v>-2.01037068246463</v>
      </c>
      <c r="Q78" s="16" t="n">
        <v>-22.0288106559561</v>
      </c>
      <c r="R78" s="16" t="n">
        <v>-4.44209170993088</v>
      </c>
      <c r="S78" s="16" t="n">
        <v>-0.66</v>
      </c>
      <c r="T78" s="16" t="n">
        <v>-13.9553838460523</v>
      </c>
      <c r="U78" s="16" t="n">
        <v>25</v>
      </c>
      <c r="V78" s="16" t="n">
        <v>25</v>
      </c>
      <c r="W78" s="16" t="n">
        <v>635</v>
      </c>
      <c r="X78" s="16" t="n">
        <v>0</v>
      </c>
      <c r="Y78" s="16" t="n">
        <v>0</v>
      </c>
      <c r="Z78" s="16" t="n">
        <v>0</v>
      </c>
      <c r="AA78" s="16" t="n">
        <v>0</v>
      </c>
      <c r="AB78" s="16" t="n">
        <v>0</v>
      </c>
      <c r="AC78" s="16" t="n">
        <v>635</v>
      </c>
      <c r="AD78" s="16" t="n">
        <v>45.7666744208278</v>
      </c>
      <c r="AE78" s="16" t="n">
        <v>20.6358926619616</v>
      </c>
      <c r="AF78" s="16" t="n">
        <v>0</v>
      </c>
      <c r="AG78" s="16" t="n">
        <v>66.4025670827894</v>
      </c>
      <c r="AH78" s="16" t="n">
        <v>4.35959214924264</v>
      </c>
      <c r="AI78" s="16" t="n">
        <v>4.35959214924264</v>
      </c>
      <c r="AJ78" s="16" t="n">
        <v>0.695916666666667</v>
      </c>
      <c r="AK78" s="16" t="n">
        <v>1.20833333333333</v>
      </c>
      <c r="AL78" s="16" t="n">
        <v>0.416666666666667</v>
      </c>
      <c r="AM78" s="16" t="n">
        <v>0</v>
      </c>
      <c r="AN78" s="16" t="n">
        <v>764.021567082789</v>
      </c>
      <c r="AO78" s="16" t="n">
        <v>227.397432917211</v>
      </c>
      <c r="AP78" s="16" t="n">
        <v>66.4025670827894</v>
      </c>
      <c r="AQ78" s="14" t="n">
        <v>227.397432917211</v>
      </c>
      <c r="AR78" s="14" t="s">
        <v>256</v>
      </c>
      <c r="AS78" s="29"/>
      <c r="AT78" s="14"/>
      <c r="AU78" s="17"/>
      <c r="AV78" s="17"/>
      <c r="AW78" s="16" t="n">
        <v>0</v>
      </c>
      <c r="AX78" s="14" t="s">
        <v>257</v>
      </c>
      <c r="AY78" s="14" t="s">
        <v>257</v>
      </c>
      <c r="AZ78" s="14" t="s">
        <v>258</v>
      </c>
      <c r="BA78" s="14" t="s">
        <v>259</v>
      </c>
      <c r="BB78" s="14" t="s">
        <v>365</v>
      </c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</row>
    <row r="79" customFormat="false" ht="15" hidden="false" customHeight="false" outlineLevel="0" collapsed="false">
      <c r="C79" s="14" t="s">
        <v>263</v>
      </c>
      <c r="D79" s="14" t="s">
        <v>264</v>
      </c>
      <c r="E79" s="14" t="s">
        <v>266</v>
      </c>
      <c r="F79" s="14" t="s">
        <v>253</v>
      </c>
      <c r="G79" s="29" t="n">
        <v>46113</v>
      </c>
      <c r="H79" s="29" t="n">
        <v>46142</v>
      </c>
      <c r="I79" s="14" t="s">
        <v>254</v>
      </c>
      <c r="J79" s="14" t="s">
        <v>255</v>
      </c>
      <c r="K79" s="14" t="n">
        <v>30</v>
      </c>
      <c r="L79" s="16" t="n">
        <v>211.528176663375</v>
      </c>
      <c r="M79" s="30" t="n">
        <v>28.8693217195837</v>
      </c>
      <c r="N79" s="16" t="n">
        <v>25.3098153371656</v>
      </c>
      <c r="O79" s="16" t="n">
        <v>-8.4900849345702</v>
      </c>
      <c r="P79" s="16" t="n">
        <v>-3.35061780410772</v>
      </c>
      <c r="Q79" s="16" t="n">
        <v>-36.7146844265935</v>
      </c>
      <c r="R79" s="16" t="n">
        <v>-7.40348618321813</v>
      </c>
      <c r="S79" s="16" t="n">
        <v>-1.1</v>
      </c>
      <c r="T79" s="16" t="n">
        <v>-23.2589730767538</v>
      </c>
      <c r="U79" s="16" t="n">
        <v>25</v>
      </c>
      <c r="V79" s="16" t="n">
        <v>25</v>
      </c>
      <c r="W79" s="16" t="n">
        <v>635</v>
      </c>
      <c r="X79" s="16" t="n">
        <v>11.90625</v>
      </c>
      <c r="Y79" s="16" t="n">
        <v>11.90625</v>
      </c>
      <c r="Z79" s="16" t="n">
        <v>0</v>
      </c>
      <c r="AA79" s="16" t="n">
        <v>0</v>
      </c>
      <c r="AB79" s="16" t="n">
        <v>0</v>
      </c>
      <c r="AC79" s="16" t="n">
        <v>623.09375</v>
      </c>
      <c r="AD79" s="16" t="n">
        <v>66.4025670827894</v>
      </c>
      <c r="AE79" s="16" t="n">
        <v>42.0057598079536</v>
      </c>
      <c r="AF79" s="16" t="n">
        <v>0</v>
      </c>
      <c r="AG79" s="16" t="n">
        <v>108.408326890743</v>
      </c>
      <c r="AH79" s="16" t="n">
        <v>4.51962006453314</v>
      </c>
      <c r="AI79" s="16" t="n">
        <v>4.51962006453314</v>
      </c>
      <c r="AJ79" s="16" t="n">
        <v>0.695916666666667</v>
      </c>
      <c r="AK79" s="16" t="n">
        <v>1.20833333333333</v>
      </c>
      <c r="AL79" s="16" t="n">
        <v>0.416666666666667</v>
      </c>
      <c r="AM79" s="16" t="n">
        <v>0</v>
      </c>
      <c r="AN79" s="16" t="n">
        <v>794.121076890743</v>
      </c>
      <c r="AO79" s="16" t="n">
        <v>185.391673109257</v>
      </c>
      <c r="AP79" s="16" t="n">
        <v>108.408326890743</v>
      </c>
      <c r="AQ79" s="14" t="n">
        <v>185.391673109257</v>
      </c>
      <c r="AR79" s="14" t="s">
        <v>256</v>
      </c>
      <c r="AS79" s="29"/>
      <c r="AT79" s="14"/>
      <c r="AU79" s="17"/>
      <c r="AV79" s="17"/>
      <c r="AW79" s="16" t="n">
        <v>0</v>
      </c>
      <c r="AX79" s="14" t="s">
        <v>257</v>
      </c>
      <c r="AY79" s="14" t="s">
        <v>257</v>
      </c>
      <c r="AZ79" s="14" t="s">
        <v>258</v>
      </c>
      <c r="BA79" s="14" t="s">
        <v>259</v>
      </c>
      <c r="BB79" s="14" t="s">
        <v>366</v>
      </c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</row>
    <row r="80" customFormat="false" ht="15" hidden="false" customHeight="false" outlineLevel="0" collapsed="false">
      <c r="C80" s="14" t="s">
        <v>263</v>
      </c>
      <c r="D80" s="14" t="s">
        <v>264</v>
      </c>
      <c r="E80" s="14" t="s">
        <v>270</v>
      </c>
      <c r="F80" s="14" t="s">
        <v>253</v>
      </c>
      <c r="G80" s="29" t="n">
        <v>46143</v>
      </c>
      <c r="H80" s="29" t="n">
        <v>46173</v>
      </c>
      <c r="I80" s="14" t="s">
        <v>254</v>
      </c>
      <c r="J80" s="14" t="s">
        <v>271</v>
      </c>
      <c r="K80" s="14" t="n">
        <v>31</v>
      </c>
      <c r="L80" s="16" t="n">
        <v>92.613735598725</v>
      </c>
      <c r="M80" s="30" t="n">
        <v>27.6901735836919</v>
      </c>
      <c r="N80" s="16" t="n">
        <v>9.98938567028436</v>
      </c>
      <c r="O80" s="16" t="n">
        <v>-9.2930702394357</v>
      </c>
      <c r="P80" s="16" t="n">
        <v>-1.19399331649023</v>
      </c>
      <c r="Q80" s="16" t="n">
        <v>0.954518543172876</v>
      </c>
      <c r="R80" s="16" t="n">
        <v>-3.24148074595538</v>
      </c>
      <c r="S80" s="16" t="n">
        <v>-0.3</v>
      </c>
      <c r="T80" s="16" t="n">
        <v>6.20843015101163</v>
      </c>
      <c r="U80" s="16" t="n">
        <v>25</v>
      </c>
      <c r="V80" s="16" t="n">
        <v>25</v>
      </c>
      <c r="W80" s="16" t="n">
        <v>623.09375</v>
      </c>
      <c r="X80" s="16" t="n">
        <v>0</v>
      </c>
      <c r="Y80" s="16" t="n">
        <v>0</v>
      </c>
      <c r="Z80" s="16" t="n">
        <v>0</v>
      </c>
      <c r="AA80" s="16" t="n">
        <v>0</v>
      </c>
      <c r="AB80" s="16" t="n">
        <v>0</v>
      </c>
      <c r="AC80" s="16" t="n">
        <v>623.09375</v>
      </c>
      <c r="AD80" s="16" t="n">
        <v>108.408326890743</v>
      </c>
      <c r="AE80" s="16" t="n">
        <v>0.729345929325997</v>
      </c>
      <c r="AF80" s="16" t="n">
        <v>0</v>
      </c>
      <c r="AG80" s="16" t="n">
        <v>109.137672820069</v>
      </c>
      <c r="AH80" s="16" t="n">
        <v>4.61685941367096</v>
      </c>
      <c r="AI80" s="16" t="n">
        <v>4.61685941367096</v>
      </c>
      <c r="AJ80" s="16" t="n">
        <v>0.695916666666667</v>
      </c>
      <c r="AK80" s="16" t="n">
        <v>1.20833333333333</v>
      </c>
      <c r="AL80" s="16" t="n">
        <v>0.416666666666667</v>
      </c>
      <c r="AM80" s="16" t="n">
        <v>0</v>
      </c>
      <c r="AN80" s="16" t="n">
        <v>794.850422820069</v>
      </c>
      <c r="AO80" s="16" t="n">
        <v>184.662327179931</v>
      </c>
      <c r="AP80" s="16" t="n">
        <v>109.137672820069</v>
      </c>
      <c r="AQ80" s="14" t="n">
        <v>184.662327179931</v>
      </c>
      <c r="AR80" s="14" t="s">
        <v>256</v>
      </c>
      <c r="AS80" s="29"/>
      <c r="AT80" s="14"/>
      <c r="AU80" s="17"/>
      <c r="AV80" s="17"/>
      <c r="AW80" s="16" t="n">
        <v>0</v>
      </c>
      <c r="AX80" s="14" t="s">
        <v>257</v>
      </c>
      <c r="AY80" s="14" t="s">
        <v>257</v>
      </c>
      <c r="AZ80" s="14" t="s">
        <v>258</v>
      </c>
      <c r="BA80" s="14" t="s">
        <v>259</v>
      </c>
      <c r="BB80" s="14" t="s">
        <v>367</v>
      </c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</row>
    <row r="81" customFormat="false" ht="15" hidden="false" customHeight="false" outlineLevel="0" collapsed="false">
      <c r="C81" s="14" t="s">
        <v>263</v>
      </c>
      <c r="D81" s="14" t="s">
        <v>264</v>
      </c>
      <c r="E81" s="14" t="s">
        <v>277</v>
      </c>
      <c r="F81" s="14" t="s">
        <v>253</v>
      </c>
      <c r="G81" s="29" t="n">
        <v>46174</v>
      </c>
      <c r="H81" s="29" t="n">
        <v>46203</v>
      </c>
      <c r="I81" s="14" t="s">
        <v>254</v>
      </c>
      <c r="J81" s="14" t="s">
        <v>271</v>
      </c>
      <c r="K81" s="14" t="n">
        <v>30</v>
      </c>
      <c r="L81" s="16" t="n">
        <v>138.920603398088</v>
      </c>
      <c r="M81" s="30" t="n">
        <v>27.6901735836919</v>
      </c>
      <c r="N81" s="16" t="n">
        <v>14.9840785054265</v>
      </c>
      <c r="O81" s="16" t="n">
        <v>-9.2930702394357</v>
      </c>
      <c r="P81" s="16" t="n">
        <v>-1.79098997473535</v>
      </c>
      <c r="Q81" s="16" t="n">
        <v>1.43177781475931</v>
      </c>
      <c r="R81" s="16" t="n">
        <v>-4.86222111893306</v>
      </c>
      <c r="S81" s="16" t="n">
        <v>-0.45</v>
      </c>
      <c r="T81" s="16" t="n">
        <v>9.31264522651744</v>
      </c>
      <c r="U81" s="16" t="n">
        <v>25</v>
      </c>
      <c r="V81" s="16" t="n">
        <v>25</v>
      </c>
      <c r="W81" s="16" t="n">
        <v>623.09375</v>
      </c>
      <c r="X81" s="16" t="n">
        <v>0</v>
      </c>
      <c r="Y81" s="16" t="n">
        <v>0</v>
      </c>
      <c r="Z81" s="16" t="n">
        <v>0</v>
      </c>
      <c r="AA81" s="16" t="n">
        <v>0</v>
      </c>
      <c r="AB81" s="16" t="n">
        <v>0</v>
      </c>
      <c r="AC81" s="16" t="n">
        <v>623.09375</v>
      </c>
      <c r="AD81" s="16" t="n">
        <v>109.137672820069</v>
      </c>
      <c r="AE81" s="16" t="n">
        <v>0</v>
      </c>
      <c r="AF81" s="16" t="n">
        <v>2.38007582338637</v>
      </c>
      <c r="AG81" s="16" t="n">
        <v>106.757596996683</v>
      </c>
      <c r="AH81" s="16" t="n">
        <v>4.61165273646441</v>
      </c>
      <c r="AI81" s="16" t="n">
        <v>4.61165273646441</v>
      </c>
      <c r="AJ81" s="16" t="n">
        <v>0.695916666666667</v>
      </c>
      <c r="AK81" s="16" t="n">
        <v>1.20833333333333</v>
      </c>
      <c r="AL81" s="16" t="n">
        <v>0.416666666666667</v>
      </c>
      <c r="AM81" s="16" t="n">
        <v>0</v>
      </c>
      <c r="AN81" s="16" t="n">
        <v>792.470346996683</v>
      </c>
      <c r="AO81" s="16" t="n">
        <v>187.042403003317</v>
      </c>
      <c r="AP81" s="16" t="n">
        <v>106.757596996683</v>
      </c>
      <c r="AQ81" s="14" t="n">
        <v>187.042403003317</v>
      </c>
      <c r="AR81" s="14" t="s">
        <v>256</v>
      </c>
      <c r="AS81" s="29"/>
      <c r="AT81" s="14"/>
      <c r="AU81" s="17"/>
      <c r="AV81" s="17"/>
      <c r="AW81" s="16" t="n">
        <v>0</v>
      </c>
      <c r="AX81" s="14" t="s">
        <v>257</v>
      </c>
      <c r="AY81" s="14" t="s">
        <v>257</v>
      </c>
      <c r="AZ81" s="14" t="s">
        <v>258</v>
      </c>
      <c r="BA81" s="14" t="s">
        <v>259</v>
      </c>
      <c r="BB81" s="14" t="s">
        <v>368</v>
      </c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</row>
    <row r="82" customFormat="false" ht="15" hidden="false" customHeight="false" outlineLevel="0" collapsed="false">
      <c r="C82" s="14" t="s">
        <v>263</v>
      </c>
      <c r="D82" s="14" t="s">
        <v>264</v>
      </c>
      <c r="E82" s="14" t="s">
        <v>282</v>
      </c>
      <c r="F82" s="14" t="s">
        <v>253</v>
      </c>
      <c r="G82" s="29" t="n">
        <v>46204</v>
      </c>
      <c r="H82" s="29" t="n">
        <v>46234</v>
      </c>
      <c r="I82" s="14" t="s">
        <v>254</v>
      </c>
      <c r="J82" s="14" t="s">
        <v>271</v>
      </c>
      <c r="K82" s="14" t="n">
        <v>31</v>
      </c>
      <c r="L82" s="16" t="n">
        <v>231.534338996813</v>
      </c>
      <c r="M82" s="30" t="n">
        <v>27.6901735836919</v>
      </c>
      <c r="N82" s="16" t="n">
        <v>24.9734641757109</v>
      </c>
      <c r="O82" s="16" t="n">
        <v>-9.2930702394357</v>
      </c>
      <c r="P82" s="16" t="n">
        <v>-2.98498329122558</v>
      </c>
      <c r="Q82" s="16" t="n">
        <v>2.38629635793219</v>
      </c>
      <c r="R82" s="16" t="n">
        <v>-8.10370186488844</v>
      </c>
      <c r="S82" s="16" t="n">
        <v>-0.75</v>
      </c>
      <c r="T82" s="16" t="n">
        <v>15.5210753775291</v>
      </c>
      <c r="U82" s="16" t="n">
        <v>25</v>
      </c>
      <c r="V82" s="16" t="n">
        <v>25</v>
      </c>
      <c r="W82" s="16" t="n">
        <v>623.09375</v>
      </c>
      <c r="X82" s="16" t="n">
        <v>11.90625</v>
      </c>
      <c r="Y82" s="16" t="n">
        <v>11.90625</v>
      </c>
      <c r="Z82" s="16" t="n">
        <v>0</v>
      </c>
      <c r="AA82" s="16" t="n">
        <v>0</v>
      </c>
      <c r="AB82" s="16" t="n">
        <v>0</v>
      </c>
      <c r="AC82" s="16" t="n">
        <v>611.1875</v>
      </c>
      <c r="AD82" s="16" t="n">
        <v>106.757596996683</v>
      </c>
      <c r="AE82" s="16" t="n">
        <v>3.28303782136052</v>
      </c>
      <c r="AF82" s="16" t="n">
        <v>0</v>
      </c>
      <c r="AG82" s="16" t="n">
        <v>110.040634818043</v>
      </c>
      <c r="AH82" s="16" t="n">
        <v>4.57694653222293</v>
      </c>
      <c r="AI82" s="16" t="n">
        <v>4.57694653222293</v>
      </c>
      <c r="AJ82" s="16" t="n">
        <v>0.695916666666667</v>
      </c>
      <c r="AK82" s="16" t="n">
        <v>1.20833333333333</v>
      </c>
      <c r="AL82" s="16" t="n">
        <v>0.416666666666667</v>
      </c>
      <c r="AM82" s="16" t="n">
        <v>0</v>
      </c>
      <c r="AN82" s="16" t="n">
        <v>783.847134818043</v>
      </c>
      <c r="AO82" s="16" t="n">
        <v>183.759365181957</v>
      </c>
      <c r="AP82" s="16" t="n">
        <v>110.040634818043</v>
      </c>
      <c r="AQ82" s="14" t="n">
        <v>183.759365181957</v>
      </c>
      <c r="AR82" s="14" t="s">
        <v>256</v>
      </c>
      <c r="AS82" s="29"/>
      <c r="AT82" s="14"/>
      <c r="AU82" s="17"/>
      <c r="AV82" s="17"/>
      <c r="AW82" s="16" t="n">
        <v>0</v>
      </c>
      <c r="AX82" s="14" t="s">
        <v>257</v>
      </c>
      <c r="AY82" s="14" t="s">
        <v>257</v>
      </c>
      <c r="AZ82" s="14" t="s">
        <v>258</v>
      </c>
      <c r="BA82" s="14" t="s">
        <v>259</v>
      </c>
      <c r="BB82" s="14" t="s">
        <v>369</v>
      </c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</row>
    <row r="83" customFormat="false" ht="15" hidden="false" customHeight="false" outlineLevel="0" collapsed="false">
      <c r="C83" s="14" t="s">
        <v>263</v>
      </c>
      <c r="D83" s="14" t="s">
        <v>264</v>
      </c>
      <c r="E83" s="14" t="s">
        <v>287</v>
      </c>
      <c r="F83" s="14" t="s">
        <v>253</v>
      </c>
      <c r="G83" s="29" t="n">
        <v>46235</v>
      </c>
      <c r="H83" s="29" t="n">
        <v>46265</v>
      </c>
      <c r="I83" s="14" t="s">
        <v>254</v>
      </c>
      <c r="J83" s="14" t="s">
        <v>288</v>
      </c>
      <c r="K83" s="14" t="n">
        <v>31</v>
      </c>
      <c r="L83" s="16" t="n">
        <v>91.59891196995</v>
      </c>
      <c r="M83" s="30" t="n">
        <v>27.9159174302794</v>
      </c>
      <c r="N83" s="16" t="n">
        <v>10.0867049542532</v>
      </c>
      <c r="O83" s="16" t="n">
        <v>-9.1912405572414</v>
      </c>
      <c r="P83" s="16" t="n">
        <v>-1.2326047504102</v>
      </c>
      <c r="Q83" s="16" t="n">
        <v>0.942147836813369</v>
      </c>
      <c r="R83" s="16" t="n">
        <v>-3.20596191894825</v>
      </c>
      <c r="S83" s="16" t="n">
        <v>0</v>
      </c>
      <c r="T83" s="16" t="n">
        <v>6.59028612170815</v>
      </c>
      <c r="U83" s="16" t="n">
        <v>25</v>
      </c>
      <c r="V83" s="16" t="n">
        <v>25</v>
      </c>
      <c r="W83" s="16" t="n">
        <v>611.1875</v>
      </c>
      <c r="X83" s="16" t="n">
        <v>0</v>
      </c>
      <c r="Y83" s="16" t="n">
        <v>0</v>
      </c>
      <c r="Z83" s="16" t="n">
        <v>0</v>
      </c>
      <c r="AA83" s="16" t="n">
        <v>0</v>
      </c>
      <c r="AB83" s="16" t="n">
        <v>0</v>
      </c>
      <c r="AC83" s="16" t="n">
        <v>611.1875</v>
      </c>
      <c r="AD83" s="16" t="n">
        <v>110.040634818043</v>
      </c>
      <c r="AE83" s="16" t="n">
        <v>0.281265186043232</v>
      </c>
      <c r="AF83" s="16" t="n">
        <v>0</v>
      </c>
      <c r="AG83" s="16" t="n">
        <v>110.321900004086</v>
      </c>
      <c r="AH83" s="16" t="n">
        <v>4.55063464108471</v>
      </c>
      <c r="AI83" s="16" t="n">
        <v>4.55063464108471</v>
      </c>
      <c r="AJ83" s="16" t="n">
        <v>0.695916666666667</v>
      </c>
      <c r="AK83" s="16" t="n">
        <v>1.20833333333333</v>
      </c>
      <c r="AL83" s="16" t="n">
        <v>0.416666666666667</v>
      </c>
      <c r="AM83" s="16" t="n">
        <v>0</v>
      </c>
      <c r="AN83" s="16" t="n">
        <v>784.128400004086</v>
      </c>
      <c r="AO83" s="16" t="n">
        <v>183.478099995914</v>
      </c>
      <c r="AP83" s="16" t="n">
        <v>110.321900004086</v>
      </c>
      <c r="AQ83" s="14" t="n">
        <v>183.478099995914</v>
      </c>
      <c r="AR83" s="14" t="s">
        <v>256</v>
      </c>
      <c r="AS83" s="29"/>
      <c r="AT83" s="14"/>
      <c r="AU83" s="17"/>
      <c r="AV83" s="17"/>
      <c r="AW83" s="16" t="n">
        <v>0</v>
      </c>
      <c r="AX83" s="14" t="s">
        <v>257</v>
      </c>
      <c r="AY83" s="14" t="s">
        <v>257</v>
      </c>
      <c r="AZ83" s="14" t="s">
        <v>258</v>
      </c>
      <c r="BA83" s="14" t="s">
        <v>259</v>
      </c>
      <c r="BB83" s="14" t="s">
        <v>370</v>
      </c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</row>
    <row r="84" customFormat="false" ht="15" hidden="false" customHeight="false" outlineLevel="0" collapsed="false">
      <c r="C84" s="14" t="s">
        <v>263</v>
      </c>
      <c r="D84" s="14" t="s">
        <v>264</v>
      </c>
      <c r="E84" s="14" t="s">
        <v>293</v>
      </c>
      <c r="F84" s="14" t="s">
        <v>253</v>
      </c>
      <c r="G84" s="29" t="n">
        <v>46266</v>
      </c>
      <c r="H84" s="29" t="n">
        <v>46295</v>
      </c>
      <c r="I84" s="14" t="s">
        <v>254</v>
      </c>
      <c r="J84" s="14" t="s">
        <v>288</v>
      </c>
      <c r="K84" s="14" t="n">
        <v>30</v>
      </c>
      <c r="L84" s="16" t="n">
        <v>137.398367954925</v>
      </c>
      <c r="M84" s="30" t="n">
        <v>27.9159174302794</v>
      </c>
      <c r="N84" s="16" t="n">
        <v>15.1300574313798</v>
      </c>
      <c r="O84" s="16" t="n">
        <v>-9.1912405572414</v>
      </c>
      <c r="P84" s="16" t="n">
        <v>-1.8489071256153</v>
      </c>
      <c r="Q84" s="16" t="n">
        <v>1.41322175522005</v>
      </c>
      <c r="R84" s="16" t="n">
        <v>-4.80894287842238</v>
      </c>
      <c r="S84" s="16" t="n">
        <v>0</v>
      </c>
      <c r="T84" s="16" t="n">
        <v>9.88542918256222</v>
      </c>
      <c r="U84" s="16" t="n">
        <v>25</v>
      </c>
      <c r="V84" s="16" t="n">
        <v>25</v>
      </c>
      <c r="W84" s="16" t="n">
        <v>611.1875</v>
      </c>
      <c r="X84" s="16" t="n">
        <v>0</v>
      </c>
      <c r="Y84" s="16" t="n">
        <v>0</v>
      </c>
      <c r="Z84" s="16" t="n">
        <v>0</v>
      </c>
      <c r="AA84" s="16" t="n">
        <v>0</v>
      </c>
      <c r="AB84" s="16" t="n">
        <v>0</v>
      </c>
      <c r="AC84" s="16" t="n">
        <v>611.1875</v>
      </c>
      <c r="AD84" s="16" t="n">
        <v>110.321900004086</v>
      </c>
      <c r="AE84" s="16" t="n">
        <v>0</v>
      </c>
      <c r="AF84" s="16" t="n">
        <v>3.02252426281446</v>
      </c>
      <c r="AG84" s="16" t="n">
        <v>107.299375741272</v>
      </c>
      <c r="AH84" s="16" t="n">
        <v>4.54198825308109</v>
      </c>
      <c r="AI84" s="16" t="n">
        <v>4.54198825308109</v>
      </c>
      <c r="AJ84" s="16" t="n">
        <v>0.695916666666667</v>
      </c>
      <c r="AK84" s="16" t="n">
        <v>1.20833333333333</v>
      </c>
      <c r="AL84" s="16" t="n">
        <v>0.416666666666667</v>
      </c>
      <c r="AM84" s="16" t="n">
        <v>0</v>
      </c>
      <c r="AN84" s="16" t="n">
        <v>781.105875741272</v>
      </c>
      <c r="AO84" s="16" t="n">
        <v>186.500624258728</v>
      </c>
      <c r="AP84" s="16" t="n">
        <v>107.299375741272</v>
      </c>
      <c r="AQ84" s="14" t="n">
        <v>186.500624258728</v>
      </c>
      <c r="AR84" s="14" t="s">
        <v>256</v>
      </c>
      <c r="AS84" s="29"/>
      <c r="AT84" s="14"/>
      <c r="AU84" s="17"/>
      <c r="AV84" s="17"/>
      <c r="AW84" s="16" t="n">
        <v>0</v>
      </c>
      <c r="AX84" s="14" t="s">
        <v>257</v>
      </c>
      <c r="AY84" s="14" t="s">
        <v>257</v>
      </c>
      <c r="AZ84" s="14" t="s">
        <v>258</v>
      </c>
      <c r="BA84" s="14" t="s">
        <v>259</v>
      </c>
      <c r="BB84" s="14" t="s">
        <v>371</v>
      </c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</row>
    <row r="85" customFormat="false" ht="15" hidden="false" customHeight="false" outlineLevel="0" collapsed="false">
      <c r="C85" s="14" t="s">
        <v>263</v>
      </c>
      <c r="D85" s="14" t="s">
        <v>264</v>
      </c>
      <c r="E85" s="14" t="s">
        <v>297</v>
      </c>
      <c r="F85" s="14" t="s">
        <v>253</v>
      </c>
      <c r="G85" s="29" t="n">
        <v>46296</v>
      </c>
      <c r="H85" s="29" t="n">
        <v>46326</v>
      </c>
      <c r="I85" s="14" t="s">
        <v>254</v>
      </c>
      <c r="J85" s="14" t="s">
        <v>288</v>
      </c>
      <c r="K85" s="14" t="n">
        <v>31</v>
      </c>
      <c r="L85" s="16" t="n">
        <v>228.997279924875</v>
      </c>
      <c r="M85" s="30" t="n">
        <v>27.9159174302794</v>
      </c>
      <c r="N85" s="16" t="n">
        <v>25.2167623856331</v>
      </c>
      <c r="O85" s="16" t="n">
        <v>-9.1912405572414</v>
      </c>
      <c r="P85" s="16" t="n">
        <v>-3.0815118760255</v>
      </c>
      <c r="Q85" s="16" t="n">
        <v>2.35536959203342</v>
      </c>
      <c r="R85" s="16" t="n">
        <v>-8.01490479737062</v>
      </c>
      <c r="S85" s="16" t="n">
        <v>0</v>
      </c>
      <c r="T85" s="16" t="n">
        <v>16.4757153042704</v>
      </c>
      <c r="U85" s="16" t="n">
        <v>25</v>
      </c>
      <c r="V85" s="16" t="n">
        <v>25</v>
      </c>
      <c r="W85" s="16" t="n">
        <v>611.1875</v>
      </c>
      <c r="X85" s="16" t="n">
        <v>11.90625</v>
      </c>
      <c r="Y85" s="16" t="n">
        <v>11.90625</v>
      </c>
      <c r="Z85" s="16" t="n">
        <v>0</v>
      </c>
      <c r="AA85" s="16" t="n">
        <v>0</v>
      </c>
      <c r="AB85" s="16" t="n">
        <v>0</v>
      </c>
      <c r="AC85" s="16" t="n">
        <v>599.28125</v>
      </c>
      <c r="AD85" s="16" t="n">
        <v>107.299375741272</v>
      </c>
      <c r="AE85" s="16" t="n">
        <v>2.25345956035173</v>
      </c>
      <c r="AF85" s="16" t="n">
        <v>0</v>
      </c>
      <c r="AG85" s="16" t="n">
        <v>109.552835301624</v>
      </c>
      <c r="AH85" s="16" t="n">
        <v>4.50200819795543</v>
      </c>
      <c r="AI85" s="16" t="n">
        <v>4.50200819795543</v>
      </c>
      <c r="AJ85" s="16" t="n">
        <v>0.695916666666667</v>
      </c>
      <c r="AK85" s="16" t="n">
        <v>1.20833333333333</v>
      </c>
      <c r="AL85" s="16" t="n">
        <v>0.416666666666667</v>
      </c>
      <c r="AM85" s="16" t="n">
        <v>0</v>
      </c>
      <c r="AN85" s="16" t="n">
        <v>771.453085301624</v>
      </c>
      <c r="AO85" s="16" t="n">
        <v>184.247164698376</v>
      </c>
      <c r="AP85" s="16" t="n">
        <v>109.552835301624</v>
      </c>
      <c r="AQ85" s="14" t="n">
        <v>184.247164698376</v>
      </c>
      <c r="AR85" s="14" t="s">
        <v>372</v>
      </c>
      <c r="AS85" s="29"/>
      <c r="AT85" s="14" t="n">
        <v>183.025107508387</v>
      </c>
      <c r="AU85" s="17" t="n">
        <v>4.2150123324816</v>
      </c>
      <c r="AV85" s="17"/>
      <c r="AW85" s="16" t="n">
        <v>0</v>
      </c>
      <c r="AX85" s="14" t="s">
        <v>257</v>
      </c>
      <c r="AY85" s="14" t="s">
        <v>257</v>
      </c>
      <c r="AZ85" s="14" t="s">
        <v>373</v>
      </c>
      <c r="BA85" s="14" t="s">
        <v>259</v>
      </c>
      <c r="BB85" s="14" t="s">
        <v>374</v>
      </c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</row>
    <row r="86" customFormat="false" ht="15" hidden="false" customHeight="false" outlineLevel="0" collapsed="false">
      <c r="C86" s="14" t="s">
        <v>263</v>
      </c>
      <c r="D86" s="14" t="s">
        <v>264</v>
      </c>
      <c r="E86" s="14" t="s">
        <v>301</v>
      </c>
      <c r="F86" s="14" t="s">
        <v>253</v>
      </c>
      <c r="G86" s="29" t="n">
        <v>46327</v>
      </c>
      <c r="H86" s="29" t="n">
        <v>46356</v>
      </c>
      <c r="I86" s="14" t="s">
        <v>302</v>
      </c>
      <c r="J86" s="14" t="s">
        <v>303</v>
      </c>
      <c r="K86" s="14" t="n">
        <v>30</v>
      </c>
      <c r="L86" s="16" t="n">
        <v>74.8044876353551</v>
      </c>
      <c r="M86" s="30" t="n">
        <v>22.9096754759419</v>
      </c>
      <c r="N86" s="16" t="n">
        <v>4.49243996433288</v>
      </c>
      <c r="O86" s="16" t="n">
        <v>-7.50605029941072</v>
      </c>
      <c r="P86" s="16" t="n">
        <v>-0.0703864365908679</v>
      </c>
      <c r="Q86" s="16" t="n">
        <v>0.821762615170887</v>
      </c>
      <c r="R86" s="16" t="n">
        <v>-2.61815706723743</v>
      </c>
      <c r="S86" s="16" t="n">
        <v>0</v>
      </c>
      <c r="T86" s="16" t="n">
        <v>2.62565907567547</v>
      </c>
      <c r="U86" s="16" t="n">
        <v>25</v>
      </c>
      <c r="V86" s="16" t="n">
        <v>25</v>
      </c>
      <c r="W86" s="16" t="n">
        <v>599.28125</v>
      </c>
      <c r="X86" s="16" t="n">
        <v>0</v>
      </c>
      <c r="Y86" s="16" t="n">
        <v>0</v>
      </c>
      <c r="Z86" s="16" t="n">
        <v>0</v>
      </c>
      <c r="AA86" s="16" t="n">
        <v>0</v>
      </c>
      <c r="AB86" s="16" t="n">
        <v>0</v>
      </c>
      <c r="AC86" s="16" t="n">
        <v>599.28125</v>
      </c>
      <c r="AD86" s="16" t="n">
        <v>109.552835301624</v>
      </c>
      <c r="AE86" s="16" t="n">
        <v>4.15325266354391</v>
      </c>
      <c r="AF86" s="16" t="n">
        <v>0</v>
      </c>
      <c r="AG86" s="16" t="n">
        <v>113.706087965168</v>
      </c>
      <c r="AH86" s="16" t="n">
        <v>4.48466173921938</v>
      </c>
      <c r="AI86" s="16" t="n">
        <v>4.48466173921938</v>
      </c>
      <c r="AJ86" s="16" t="n">
        <v>0.66925</v>
      </c>
      <c r="AK86" s="16" t="n">
        <v>1.20833333333333</v>
      </c>
      <c r="AL86" s="16" t="n">
        <v>0.416666666666667</v>
      </c>
      <c r="AM86" s="16" t="n">
        <v>0</v>
      </c>
      <c r="AN86" s="16" t="n">
        <v>775.606337965168</v>
      </c>
      <c r="AO86" s="16" t="n">
        <v>180.093912034833</v>
      </c>
      <c r="AP86" s="16" t="n">
        <v>113.706087965168</v>
      </c>
      <c r="AQ86" s="14" t="n">
        <v>180.093912034833</v>
      </c>
      <c r="AR86" s="14" t="s">
        <v>372</v>
      </c>
      <c r="AS86" s="29"/>
      <c r="AT86" s="14" t="n">
        <v>176.842539568931</v>
      </c>
      <c r="AU86" s="17" t="n">
        <v>4.38585840180635</v>
      </c>
      <c r="AV86" s="17"/>
      <c r="AW86" s="16" t="n">
        <v>0</v>
      </c>
      <c r="AX86" s="14" t="s">
        <v>257</v>
      </c>
      <c r="AY86" s="14" t="s">
        <v>257</v>
      </c>
      <c r="AZ86" s="14" t="s">
        <v>373</v>
      </c>
      <c r="BA86" s="14" t="s">
        <v>259</v>
      </c>
      <c r="BB86" s="14" t="s">
        <v>375</v>
      </c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</row>
    <row r="87" customFormat="false" ht="15" hidden="false" customHeight="false" outlineLevel="0" collapsed="false">
      <c r="C87" s="14" t="s">
        <v>263</v>
      </c>
      <c r="D87" s="14" t="s">
        <v>264</v>
      </c>
      <c r="E87" s="14" t="s">
        <v>305</v>
      </c>
      <c r="F87" s="14" t="s">
        <v>253</v>
      </c>
      <c r="G87" s="29" t="n">
        <v>46357</v>
      </c>
      <c r="H87" s="29" t="n">
        <v>46387</v>
      </c>
      <c r="I87" s="14" t="s">
        <v>302</v>
      </c>
      <c r="J87" s="14" t="s">
        <v>303</v>
      </c>
      <c r="K87" s="14" t="n">
        <v>31</v>
      </c>
      <c r="L87" s="16" t="n">
        <v>112.206731453033</v>
      </c>
      <c r="M87" s="30" t="n">
        <v>22.9096754759419</v>
      </c>
      <c r="N87" s="16" t="n">
        <v>6.73865994649932</v>
      </c>
      <c r="O87" s="16" t="n">
        <v>-7.50605029941072</v>
      </c>
      <c r="P87" s="16" t="n">
        <v>-0.105579654886302</v>
      </c>
      <c r="Q87" s="16" t="n">
        <v>1.23264392275633</v>
      </c>
      <c r="R87" s="16" t="n">
        <v>-3.92723560085615</v>
      </c>
      <c r="S87" s="16" t="n">
        <v>0</v>
      </c>
      <c r="T87" s="16" t="n">
        <v>3.93848861351321</v>
      </c>
      <c r="U87" s="16" t="n">
        <v>25</v>
      </c>
      <c r="V87" s="16" t="n">
        <v>25</v>
      </c>
      <c r="W87" s="16" t="n">
        <v>599.28125</v>
      </c>
      <c r="X87" s="16" t="n">
        <v>0</v>
      </c>
      <c r="Y87" s="16" t="n">
        <v>0</v>
      </c>
      <c r="Z87" s="16" t="n">
        <v>0</v>
      </c>
      <c r="AA87" s="16" t="n">
        <v>0</v>
      </c>
      <c r="AB87" s="16" t="n">
        <v>0</v>
      </c>
      <c r="AC87" s="16" t="n">
        <v>599.28125</v>
      </c>
      <c r="AD87" s="16" t="n">
        <v>113.706087965168</v>
      </c>
      <c r="AE87" s="16" t="n">
        <v>2.86255214336837</v>
      </c>
      <c r="AF87" s="16" t="n">
        <v>0</v>
      </c>
      <c r="AG87" s="16" t="n">
        <v>116.568640108536</v>
      </c>
      <c r="AH87" s="16" t="n">
        <v>4.50679075688158</v>
      </c>
      <c r="AI87" s="16" t="n">
        <v>4.50679075688158</v>
      </c>
      <c r="AJ87" s="16" t="n">
        <v>0.66925</v>
      </c>
      <c r="AK87" s="16" t="n">
        <v>1.20833333333333</v>
      </c>
      <c r="AL87" s="16" t="n">
        <v>0.416666666666667</v>
      </c>
      <c r="AM87" s="16" t="n">
        <v>0</v>
      </c>
      <c r="AN87" s="16" t="n">
        <v>778.468890108536</v>
      </c>
      <c r="AO87" s="16" t="n">
        <v>177.231359891464</v>
      </c>
      <c r="AP87" s="16" t="n">
        <v>116.568640108536</v>
      </c>
      <c r="AQ87" s="14" t="n">
        <v>177.231359891464</v>
      </c>
      <c r="AR87" s="14" t="s">
        <v>372</v>
      </c>
      <c r="AS87" s="29"/>
      <c r="AT87" s="14" t="n">
        <v>172.906191611641</v>
      </c>
      <c r="AU87" s="17" t="n">
        <v>4.50226150291385</v>
      </c>
      <c r="AV87" s="17"/>
      <c r="AW87" s="16" t="n">
        <v>0</v>
      </c>
      <c r="AX87" s="14" t="s">
        <v>257</v>
      </c>
      <c r="AY87" s="14" t="s">
        <v>257</v>
      </c>
      <c r="AZ87" s="14" t="s">
        <v>373</v>
      </c>
      <c r="BA87" s="14" t="s">
        <v>259</v>
      </c>
      <c r="BB87" s="14" t="s">
        <v>376</v>
      </c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</row>
    <row r="88" customFormat="false" ht="15" hidden="false" customHeight="false" outlineLevel="0" collapsed="false">
      <c r="C88" s="14" t="s">
        <v>263</v>
      </c>
      <c r="D88" s="14" t="s">
        <v>264</v>
      </c>
      <c r="E88" s="14" t="s">
        <v>307</v>
      </c>
      <c r="F88" s="14" t="s">
        <v>253</v>
      </c>
      <c r="G88" s="29" t="n">
        <v>46388</v>
      </c>
      <c r="H88" s="29" t="n">
        <v>46418</v>
      </c>
      <c r="I88" s="14" t="s">
        <v>302</v>
      </c>
      <c r="J88" s="14" t="s">
        <v>303</v>
      </c>
      <c r="K88" s="14" t="n">
        <v>31</v>
      </c>
      <c r="L88" s="16" t="n">
        <v>187.011219088388</v>
      </c>
      <c r="M88" s="30" t="n">
        <v>22.9096754759419</v>
      </c>
      <c r="N88" s="16" t="n">
        <v>11.2310999108322</v>
      </c>
      <c r="O88" s="16" t="n">
        <v>-7.50605029941072</v>
      </c>
      <c r="P88" s="16" t="n">
        <v>-0.17596609147717</v>
      </c>
      <c r="Q88" s="16" t="n">
        <v>2.05440653792722</v>
      </c>
      <c r="R88" s="16" t="n">
        <v>-6.54539266809358</v>
      </c>
      <c r="S88" s="16" t="n">
        <v>0</v>
      </c>
      <c r="T88" s="16" t="n">
        <v>6.56414768918868</v>
      </c>
      <c r="U88" s="16" t="n">
        <v>25</v>
      </c>
      <c r="V88" s="16" t="n">
        <v>25</v>
      </c>
      <c r="W88" s="16" t="n">
        <v>599.28125</v>
      </c>
      <c r="X88" s="16" t="n">
        <v>11.90625</v>
      </c>
      <c r="Y88" s="16" t="n">
        <v>11.90625</v>
      </c>
      <c r="Z88" s="16" t="n">
        <v>0</v>
      </c>
      <c r="AA88" s="16" t="n">
        <v>0</v>
      </c>
      <c r="AB88" s="16" t="n">
        <v>0</v>
      </c>
      <c r="AC88" s="16" t="n">
        <v>587.375</v>
      </c>
      <c r="AD88" s="16" t="n">
        <v>116.568640108536</v>
      </c>
      <c r="AE88" s="16" t="n">
        <v>12.1529501676916</v>
      </c>
      <c r="AF88" s="16" t="n">
        <v>0</v>
      </c>
      <c r="AG88" s="16" t="n">
        <v>128.721590276227</v>
      </c>
      <c r="AH88" s="16" t="n">
        <v>4.51659785688026</v>
      </c>
      <c r="AI88" s="16" t="n">
        <v>4.51659785688026</v>
      </c>
      <c r="AJ88" s="16" t="n">
        <v>0.66925</v>
      </c>
      <c r="AK88" s="16" t="n">
        <v>1.20833333333333</v>
      </c>
      <c r="AL88" s="16" t="n">
        <v>0.416666666666667</v>
      </c>
      <c r="AM88" s="16" t="n">
        <v>0</v>
      </c>
      <c r="AN88" s="16" t="n">
        <v>778.715590276227</v>
      </c>
      <c r="AO88" s="16" t="n">
        <v>165.078409723773</v>
      </c>
      <c r="AP88" s="16" t="n">
        <v>128.721590276227</v>
      </c>
      <c r="AQ88" s="14" t="n">
        <v>165.078409723773</v>
      </c>
      <c r="AR88" s="14" t="s">
        <v>372</v>
      </c>
      <c r="AS88" s="29"/>
      <c r="AT88" s="14" t="n">
        <v>173.462283618684</v>
      </c>
      <c r="AU88" s="17" t="n">
        <v>4.48925019336222</v>
      </c>
      <c r="AV88" s="17" t="n">
        <v>3.21037383225653</v>
      </c>
      <c r="AW88" s="16" t="n">
        <v>0</v>
      </c>
      <c r="AX88" s="14" t="s">
        <v>257</v>
      </c>
      <c r="AY88" s="14" t="s">
        <v>257</v>
      </c>
      <c r="AZ88" s="14" t="s">
        <v>373</v>
      </c>
      <c r="BA88" s="14" t="s">
        <v>259</v>
      </c>
      <c r="BB88" s="14" t="s">
        <v>377</v>
      </c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</row>
    <row r="89" customFormat="false" ht="15" hidden="false" customHeight="false" outlineLevel="0" collapsed="false">
      <c r="C89" s="14" t="s">
        <v>263</v>
      </c>
      <c r="D89" s="14" t="s">
        <v>264</v>
      </c>
      <c r="E89" s="14" t="s">
        <v>309</v>
      </c>
      <c r="F89" s="14" t="s">
        <v>253</v>
      </c>
      <c r="G89" s="29" t="n">
        <v>46419</v>
      </c>
      <c r="H89" s="29" t="n">
        <v>46446</v>
      </c>
      <c r="I89" s="14" t="s">
        <v>302</v>
      </c>
      <c r="J89" s="14" t="s">
        <v>255</v>
      </c>
      <c r="K89" s="14" t="n">
        <v>28</v>
      </c>
      <c r="L89" s="16" t="n">
        <v>86.0796353568275</v>
      </c>
      <c r="M89" s="30" t="n">
        <v>28.8693217195837</v>
      </c>
      <c r="N89" s="16" t="n">
        <v>10.7300174026377</v>
      </c>
      <c r="O89" s="16" t="n">
        <v>-8.48987268244684</v>
      </c>
      <c r="P89" s="16" t="n">
        <v>-1.4711056422828</v>
      </c>
      <c r="Q89" s="16" t="n">
        <v>3.48264964411667</v>
      </c>
      <c r="R89" s="16" t="n">
        <v>-3.01278723748896</v>
      </c>
      <c r="S89" s="16" t="n">
        <v>0</v>
      </c>
      <c r="T89" s="16" t="n">
        <v>9.72877416698264</v>
      </c>
      <c r="U89" s="16" t="n">
        <v>25</v>
      </c>
      <c r="V89" s="16" t="n">
        <v>25</v>
      </c>
      <c r="W89" s="16" t="n">
        <v>587.375</v>
      </c>
      <c r="X89" s="16" t="n">
        <v>0</v>
      </c>
      <c r="Y89" s="16" t="n">
        <v>0</v>
      </c>
      <c r="Z89" s="16" t="n">
        <v>0</v>
      </c>
      <c r="AA89" s="16" t="n">
        <v>0</v>
      </c>
      <c r="AB89" s="16" t="n">
        <v>0</v>
      </c>
      <c r="AC89" s="16" t="n">
        <v>587.375</v>
      </c>
      <c r="AD89" s="16" t="n">
        <v>128.721590276227</v>
      </c>
      <c r="AE89" s="16" t="n">
        <v>0</v>
      </c>
      <c r="AF89" s="16" t="n">
        <v>3.07571589979121</v>
      </c>
      <c r="AG89" s="16" t="n">
        <v>125.645874376436</v>
      </c>
      <c r="AH89" s="16" t="n">
        <v>4.35880826719143</v>
      </c>
      <c r="AI89" s="16" t="n">
        <v>4.35880826719143</v>
      </c>
      <c r="AJ89" s="16" t="n">
        <v>0.66925</v>
      </c>
      <c r="AK89" s="16" t="n">
        <v>1.20833333333333</v>
      </c>
      <c r="AL89" s="16" t="n">
        <v>0.416666666666667</v>
      </c>
      <c r="AM89" s="16" t="n">
        <v>0</v>
      </c>
      <c r="AN89" s="16" t="n">
        <v>775.639874376436</v>
      </c>
      <c r="AO89" s="16" t="n">
        <v>168.154125623564</v>
      </c>
      <c r="AP89" s="16" t="n">
        <v>125.645874376436</v>
      </c>
      <c r="AQ89" s="14" t="n">
        <v>168.154125623564</v>
      </c>
      <c r="AR89" s="14" t="s">
        <v>372</v>
      </c>
      <c r="AS89" s="29"/>
      <c r="AT89" s="14" t="n">
        <v>174.068374886455</v>
      </c>
      <c r="AU89" s="17" t="n">
        <v>4.45594942149823</v>
      </c>
      <c r="AV89" s="17" t="n">
        <v>3.2147870307052</v>
      </c>
      <c r="AW89" s="16" t="n">
        <v>0</v>
      </c>
      <c r="AX89" s="14" t="s">
        <v>257</v>
      </c>
      <c r="AY89" s="14" t="s">
        <v>257</v>
      </c>
      <c r="AZ89" s="14" t="s">
        <v>373</v>
      </c>
      <c r="BA89" s="14" t="s">
        <v>259</v>
      </c>
      <c r="BB89" s="14" t="s">
        <v>378</v>
      </c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</row>
    <row r="90" customFormat="false" ht="15" hidden="false" customHeight="false" outlineLevel="0" collapsed="false">
      <c r="C90" s="14" t="s">
        <v>263</v>
      </c>
      <c r="D90" s="14" t="s">
        <v>264</v>
      </c>
      <c r="E90" s="14" t="s">
        <v>311</v>
      </c>
      <c r="F90" s="14" t="s">
        <v>253</v>
      </c>
      <c r="G90" s="29" t="n">
        <v>46447</v>
      </c>
      <c r="H90" s="29" t="n">
        <v>46477</v>
      </c>
      <c r="I90" s="14" t="s">
        <v>302</v>
      </c>
      <c r="J90" s="14" t="s">
        <v>255</v>
      </c>
      <c r="K90" s="14" t="n">
        <v>31</v>
      </c>
      <c r="L90" s="16" t="n">
        <v>129.119453035241</v>
      </c>
      <c r="M90" s="30" t="n">
        <v>28.8693217195837</v>
      </c>
      <c r="N90" s="16" t="n">
        <v>16.0950261039566</v>
      </c>
      <c r="O90" s="16" t="n">
        <v>-8.48987268244684</v>
      </c>
      <c r="P90" s="16" t="n">
        <v>-2.2066584634242</v>
      </c>
      <c r="Q90" s="16" t="n">
        <v>5.22397446617501</v>
      </c>
      <c r="R90" s="16" t="n">
        <v>-4.51918085623344</v>
      </c>
      <c r="S90" s="16" t="n">
        <v>0</v>
      </c>
      <c r="T90" s="16" t="n">
        <v>14.593161250474</v>
      </c>
      <c r="U90" s="16" t="n">
        <v>25</v>
      </c>
      <c r="V90" s="16" t="n">
        <v>25</v>
      </c>
      <c r="W90" s="16" t="n">
        <v>587.375</v>
      </c>
      <c r="X90" s="16" t="n">
        <v>0</v>
      </c>
      <c r="Y90" s="16" t="n">
        <v>0</v>
      </c>
      <c r="Z90" s="16" t="n">
        <v>0</v>
      </c>
      <c r="AA90" s="16" t="n">
        <v>0</v>
      </c>
      <c r="AB90" s="16" t="n">
        <v>0</v>
      </c>
      <c r="AC90" s="16" t="n">
        <v>587.375</v>
      </c>
      <c r="AD90" s="16" t="n">
        <v>125.645874376436</v>
      </c>
      <c r="AE90" s="16" t="n">
        <v>0</v>
      </c>
      <c r="AF90" s="16" t="n">
        <v>7.97380401903366</v>
      </c>
      <c r="AG90" s="16" t="n">
        <v>117.672070357403</v>
      </c>
      <c r="AH90" s="16" t="n">
        <v>4.32510723144031</v>
      </c>
      <c r="AI90" s="16" t="n">
        <v>4.32510723144031</v>
      </c>
      <c r="AJ90" s="16" t="n">
        <v>0.66925</v>
      </c>
      <c r="AK90" s="16" t="n">
        <v>1.20833333333333</v>
      </c>
      <c r="AL90" s="16" t="n">
        <v>0.416666666666667</v>
      </c>
      <c r="AM90" s="16" t="n">
        <v>0</v>
      </c>
      <c r="AN90" s="16" t="n">
        <v>767.666070357403</v>
      </c>
      <c r="AO90" s="16" t="n">
        <v>176.127929642597</v>
      </c>
      <c r="AP90" s="16" t="n">
        <v>117.672070357403</v>
      </c>
      <c r="AQ90" s="14" t="n">
        <v>176.127929642597</v>
      </c>
      <c r="AR90" s="14" t="s">
        <v>372</v>
      </c>
      <c r="AS90" s="29"/>
      <c r="AT90" s="14" t="n">
        <v>174.977511788112</v>
      </c>
      <c r="AU90" s="17" t="n">
        <v>4.38722703570618</v>
      </c>
      <c r="AV90" s="17" t="n">
        <v>3.23363691023942</v>
      </c>
      <c r="AW90" s="16" t="n">
        <v>0</v>
      </c>
      <c r="AX90" s="14" t="s">
        <v>257</v>
      </c>
      <c r="AY90" s="14" t="s">
        <v>257</v>
      </c>
      <c r="AZ90" s="14" t="s">
        <v>373</v>
      </c>
      <c r="BA90" s="14" t="s">
        <v>259</v>
      </c>
      <c r="BB90" s="14" t="s">
        <v>379</v>
      </c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</row>
    <row r="91" customFormat="false" ht="15" hidden="false" customHeight="false" outlineLevel="0" collapsed="false">
      <c r="C91" s="14" t="s">
        <v>263</v>
      </c>
      <c r="D91" s="14" t="s">
        <v>264</v>
      </c>
      <c r="E91" s="14" t="s">
        <v>313</v>
      </c>
      <c r="F91" s="14" t="s">
        <v>253</v>
      </c>
      <c r="G91" s="29" t="n">
        <v>46478</v>
      </c>
      <c r="H91" s="29" t="n">
        <v>46507</v>
      </c>
      <c r="I91" s="14" t="s">
        <v>302</v>
      </c>
      <c r="J91" s="14" t="s">
        <v>255</v>
      </c>
      <c r="K91" s="14" t="n">
        <v>30</v>
      </c>
      <c r="L91" s="16" t="n">
        <v>215.199088392069</v>
      </c>
      <c r="M91" s="30" t="n">
        <v>28.8693217195837</v>
      </c>
      <c r="N91" s="16" t="n">
        <v>26.8250435065943</v>
      </c>
      <c r="O91" s="16" t="n">
        <v>-8.48987268244684</v>
      </c>
      <c r="P91" s="16" t="n">
        <v>-3.677764105707</v>
      </c>
      <c r="Q91" s="16" t="n">
        <v>8.70662411029168</v>
      </c>
      <c r="R91" s="16" t="n">
        <v>-7.5319680937224</v>
      </c>
      <c r="S91" s="16" t="n">
        <v>0</v>
      </c>
      <c r="T91" s="16" t="n">
        <v>24.3219354174566</v>
      </c>
      <c r="U91" s="16" t="n">
        <v>25</v>
      </c>
      <c r="V91" s="16" t="n">
        <v>25</v>
      </c>
      <c r="W91" s="16" t="n">
        <v>587.375</v>
      </c>
      <c r="X91" s="16" t="n">
        <v>11.90625</v>
      </c>
      <c r="Y91" s="16" t="n">
        <v>11.90625</v>
      </c>
      <c r="Z91" s="16" t="n">
        <v>0</v>
      </c>
      <c r="AA91" s="16" t="n">
        <v>0</v>
      </c>
      <c r="AB91" s="16" t="n">
        <v>0</v>
      </c>
      <c r="AC91" s="16" t="n">
        <v>575.46875</v>
      </c>
      <c r="AD91" s="16" t="n">
        <v>117.672070357403</v>
      </c>
      <c r="AE91" s="16" t="n">
        <v>0</v>
      </c>
      <c r="AF91" s="16" t="n">
        <v>5.87488073702283</v>
      </c>
      <c r="AG91" s="16" t="n">
        <v>111.79718962038</v>
      </c>
      <c r="AH91" s="16" t="n">
        <v>4.24655468043378</v>
      </c>
      <c r="AI91" s="16" t="n">
        <v>4.24655468043378</v>
      </c>
      <c r="AJ91" s="16" t="n">
        <v>0.66925</v>
      </c>
      <c r="AK91" s="16" t="n">
        <v>1.20833333333333</v>
      </c>
      <c r="AL91" s="16" t="n">
        <v>0.416666666666667</v>
      </c>
      <c r="AM91" s="16" t="n">
        <v>0</v>
      </c>
      <c r="AN91" s="16" t="n">
        <v>749.88493962038</v>
      </c>
      <c r="AO91" s="16" t="n">
        <v>182.00281037962</v>
      </c>
      <c r="AP91" s="16" t="n">
        <v>111.79718962038</v>
      </c>
      <c r="AQ91" s="14" t="n">
        <v>182.00281037962</v>
      </c>
      <c r="AR91" s="14" t="s">
        <v>372</v>
      </c>
      <c r="AS91" s="29"/>
      <c r="AT91" s="14" t="n">
        <v>176.492739957541</v>
      </c>
      <c r="AU91" s="17" t="n">
        <v>4.24881465266379</v>
      </c>
      <c r="AV91" s="17" t="n">
        <v>3.2781815680734</v>
      </c>
      <c r="AW91" s="16" t="n">
        <v>0</v>
      </c>
      <c r="AX91" s="14" t="s">
        <v>257</v>
      </c>
      <c r="AY91" s="14" t="s">
        <v>257</v>
      </c>
      <c r="AZ91" s="14" t="s">
        <v>373</v>
      </c>
      <c r="BA91" s="14" t="s">
        <v>259</v>
      </c>
      <c r="BB91" s="14" t="s">
        <v>380</v>
      </c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</row>
    <row r="92" customFormat="false" ht="15" hidden="false" customHeight="false" outlineLevel="0" collapsed="false">
      <c r="C92" s="14" t="s">
        <v>263</v>
      </c>
      <c r="D92" s="14" t="s">
        <v>264</v>
      </c>
      <c r="E92" s="14" t="s">
        <v>315</v>
      </c>
      <c r="F92" s="14" t="s">
        <v>253</v>
      </c>
      <c r="G92" s="29" t="n">
        <v>46508</v>
      </c>
      <c r="H92" s="29" t="n">
        <v>46538</v>
      </c>
      <c r="I92" s="14" t="s">
        <v>302</v>
      </c>
      <c r="J92" s="14" t="s">
        <v>271</v>
      </c>
      <c r="K92" s="14" t="n">
        <v>31</v>
      </c>
      <c r="L92" s="16" t="n">
        <v>95.8305337936221</v>
      </c>
      <c r="M92" s="30" t="n">
        <v>27.6901735836919</v>
      </c>
      <c r="N92" s="16" t="n">
        <v>11.2946572285611</v>
      </c>
      <c r="O92" s="16" t="n">
        <v>-9.29283791267971</v>
      </c>
      <c r="P92" s="16" t="n">
        <v>-1.47504120506262</v>
      </c>
      <c r="Q92" s="16" t="n">
        <v>3.26723358675642</v>
      </c>
      <c r="R92" s="16" t="n">
        <v>-3.35406868277677</v>
      </c>
      <c r="S92" s="16" t="n">
        <v>0</v>
      </c>
      <c r="T92" s="16" t="n">
        <v>9.73278092747808</v>
      </c>
      <c r="U92" s="16" t="n">
        <v>25</v>
      </c>
      <c r="V92" s="16" t="n">
        <v>25</v>
      </c>
      <c r="W92" s="16" t="n">
        <v>575.46875</v>
      </c>
      <c r="X92" s="16" t="n">
        <v>0</v>
      </c>
      <c r="Y92" s="16" t="n">
        <v>0</v>
      </c>
      <c r="Z92" s="16" t="n">
        <v>0</v>
      </c>
      <c r="AA92" s="16" t="n">
        <v>0</v>
      </c>
      <c r="AB92" s="16" t="n">
        <v>0</v>
      </c>
      <c r="AC92" s="16" t="n">
        <v>575.46875</v>
      </c>
      <c r="AD92" s="16" t="n">
        <v>111.79718962038</v>
      </c>
      <c r="AE92" s="16" t="n">
        <v>0</v>
      </c>
      <c r="AF92" s="16" t="n">
        <v>3.39940317506714</v>
      </c>
      <c r="AG92" s="16" t="n">
        <v>108.397786445313</v>
      </c>
      <c r="AH92" s="16" t="n">
        <v>4.03912775241094</v>
      </c>
      <c r="AI92" s="16" t="n">
        <v>4.03912775241094</v>
      </c>
      <c r="AJ92" s="16" t="n">
        <v>0.66925</v>
      </c>
      <c r="AK92" s="16" t="n">
        <v>1.20833333333333</v>
      </c>
      <c r="AL92" s="16" t="n">
        <v>0.416666666666667</v>
      </c>
      <c r="AM92" s="16" t="n">
        <v>0</v>
      </c>
      <c r="AN92" s="16" t="n">
        <v>746.485536445313</v>
      </c>
      <c r="AO92" s="16" t="n">
        <v>185.402213554687</v>
      </c>
      <c r="AP92" s="16" t="n">
        <v>108.397786445313</v>
      </c>
      <c r="AQ92" s="14" t="n">
        <v>185.402213554687</v>
      </c>
      <c r="AR92" s="14" t="s">
        <v>372</v>
      </c>
      <c r="AS92" s="29"/>
      <c r="AT92" s="14" t="n">
        <v>177.798011515818</v>
      </c>
      <c r="AU92" s="17" t="n">
        <v>4.19850329079131</v>
      </c>
      <c r="AV92" s="17" t="n">
        <v>3.33824781036766</v>
      </c>
      <c r="AW92" s="16" t="n">
        <v>0</v>
      </c>
      <c r="AX92" s="14" t="s">
        <v>257</v>
      </c>
      <c r="AY92" s="14" t="s">
        <v>257</v>
      </c>
      <c r="AZ92" s="14" t="s">
        <v>373</v>
      </c>
      <c r="BA92" s="14" t="s">
        <v>259</v>
      </c>
      <c r="BB92" s="14" t="s">
        <v>381</v>
      </c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</row>
    <row r="93" customFormat="false" ht="15" hidden="false" customHeight="false" outlineLevel="0" collapsed="false">
      <c r="C93" s="14" t="s">
        <v>263</v>
      </c>
      <c r="D93" s="14" t="s">
        <v>264</v>
      </c>
      <c r="E93" s="14" t="s">
        <v>317</v>
      </c>
      <c r="F93" s="14" t="s">
        <v>253</v>
      </c>
      <c r="G93" s="29" t="n">
        <v>46539</v>
      </c>
      <c r="H93" s="29" t="n">
        <v>46568</v>
      </c>
      <c r="I93" s="14" t="s">
        <v>302</v>
      </c>
      <c r="J93" s="14" t="s">
        <v>271</v>
      </c>
      <c r="K93" s="14" t="n">
        <v>30</v>
      </c>
      <c r="L93" s="16" t="n">
        <v>143.745800690433</v>
      </c>
      <c r="M93" s="30" t="n">
        <v>27.6901735836919</v>
      </c>
      <c r="N93" s="16" t="n">
        <v>16.9419858428416</v>
      </c>
      <c r="O93" s="16" t="n">
        <v>-9.29283791267971</v>
      </c>
      <c r="P93" s="16" t="n">
        <v>-2.21256180759393</v>
      </c>
      <c r="Q93" s="16" t="n">
        <v>4.90085038013463</v>
      </c>
      <c r="R93" s="16" t="n">
        <v>-5.03110302416516</v>
      </c>
      <c r="S93" s="16" t="n">
        <v>0</v>
      </c>
      <c r="T93" s="16" t="n">
        <v>14.5991713912171</v>
      </c>
      <c r="U93" s="16" t="n">
        <v>25</v>
      </c>
      <c r="V93" s="16" t="n">
        <v>25</v>
      </c>
      <c r="W93" s="16" t="n">
        <v>575.46875</v>
      </c>
      <c r="X93" s="16" t="n">
        <v>0</v>
      </c>
      <c r="Y93" s="16" t="n">
        <v>0</v>
      </c>
      <c r="Z93" s="16" t="n">
        <v>0</v>
      </c>
      <c r="AA93" s="16" t="n">
        <v>0</v>
      </c>
      <c r="AB93" s="16" t="n">
        <v>0</v>
      </c>
      <c r="AC93" s="16" t="n">
        <v>575.46875</v>
      </c>
      <c r="AD93" s="16" t="n">
        <v>108.397786445313</v>
      </c>
      <c r="AE93" s="16" t="n">
        <v>0</v>
      </c>
      <c r="AF93" s="16" t="n">
        <v>8.30025889331487</v>
      </c>
      <c r="AG93" s="16" t="n">
        <v>100.097527551998</v>
      </c>
      <c r="AH93" s="16" t="n">
        <v>4.00466249790225</v>
      </c>
      <c r="AI93" s="16" t="n">
        <v>4.00466249790225</v>
      </c>
      <c r="AJ93" s="16" t="n">
        <v>0.66925</v>
      </c>
      <c r="AK93" s="16" t="n">
        <v>1.20833333333333</v>
      </c>
      <c r="AL93" s="16" t="n">
        <v>0.416666666666667</v>
      </c>
      <c r="AM93" s="16" t="n">
        <v>0</v>
      </c>
      <c r="AN93" s="16" t="n">
        <v>738.185277551998</v>
      </c>
      <c r="AO93" s="16" t="n">
        <v>193.702472448002</v>
      </c>
      <c r="AP93" s="16" t="n">
        <v>100.097527551998</v>
      </c>
      <c r="AQ93" s="14" t="n">
        <v>193.702472448002</v>
      </c>
      <c r="AR93" s="14" t="s">
        <v>372</v>
      </c>
      <c r="AS93" s="29"/>
      <c r="AT93" s="14" t="n">
        <v>179.755918853233</v>
      </c>
      <c r="AU93" s="17" t="n">
        <v>4.10659789263858</v>
      </c>
      <c r="AV93" s="17" t="n">
        <v>3.41391536869565</v>
      </c>
      <c r="AW93" s="16" t="n">
        <v>0</v>
      </c>
      <c r="AX93" s="14" t="s">
        <v>257</v>
      </c>
      <c r="AY93" s="14" t="s">
        <v>257</v>
      </c>
      <c r="AZ93" s="14" t="s">
        <v>373</v>
      </c>
      <c r="BA93" s="14" t="s">
        <v>259</v>
      </c>
      <c r="BB93" s="14" t="s">
        <v>382</v>
      </c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</row>
    <row r="94" customFormat="false" ht="15" hidden="false" customHeight="false" outlineLevel="0" collapsed="false">
      <c r="C94" s="14" t="s">
        <v>263</v>
      </c>
      <c r="D94" s="14" t="s">
        <v>264</v>
      </c>
      <c r="E94" s="14" t="s">
        <v>319</v>
      </c>
      <c r="F94" s="14" t="s">
        <v>253</v>
      </c>
      <c r="G94" s="29" t="n">
        <v>46569</v>
      </c>
      <c r="H94" s="29" t="n">
        <v>46599</v>
      </c>
      <c r="I94" s="14" t="s">
        <v>302</v>
      </c>
      <c r="J94" s="14" t="s">
        <v>271</v>
      </c>
      <c r="K94" s="14" t="n">
        <v>31</v>
      </c>
      <c r="L94" s="16" t="n">
        <v>239.576334484055</v>
      </c>
      <c r="M94" s="30" t="n">
        <v>27.6901735836919</v>
      </c>
      <c r="N94" s="16" t="n">
        <v>28.2366430714026</v>
      </c>
      <c r="O94" s="16" t="n">
        <v>-9.29283791267971</v>
      </c>
      <c r="P94" s="16" t="n">
        <v>-3.68760301265655</v>
      </c>
      <c r="Q94" s="16" t="n">
        <v>8.16808396689105</v>
      </c>
      <c r="R94" s="16" t="n">
        <v>-8.38517170694193</v>
      </c>
      <c r="S94" s="16" t="n">
        <v>0</v>
      </c>
      <c r="T94" s="16" t="n">
        <v>24.3319523186952</v>
      </c>
      <c r="U94" s="16" t="n">
        <v>25</v>
      </c>
      <c r="V94" s="16" t="n">
        <v>25</v>
      </c>
      <c r="W94" s="16" t="n">
        <v>575.46875</v>
      </c>
      <c r="X94" s="16" t="n">
        <v>11.90625</v>
      </c>
      <c r="Y94" s="16" t="n">
        <v>11.90625</v>
      </c>
      <c r="Z94" s="16" t="n">
        <v>0</v>
      </c>
      <c r="AA94" s="16" t="n">
        <v>0</v>
      </c>
      <c r="AB94" s="16" t="n">
        <v>0</v>
      </c>
      <c r="AC94" s="16" t="n">
        <v>563.5625</v>
      </c>
      <c r="AD94" s="16" t="n">
        <v>100.097527551998</v>
      </c>
      <c r="AE94" s="16" t="n">
        <v>0</v>
      </c>
      <c r="AF94" s="16" t="n">
        <v>6.20459252371776</v>
      </c>
      <c r="AG94" s="16" t="n">
        <v>93.89293502828</v>
      </c>
      <c r="AH94" s="16" t="n">
        <v>3.92685979497744</v>
      </c>
      <c r="AI94" s="16" t="n">
        <v>3.92685979497744</v>
      </c>
      <c r="AJ94" s="16" t="n">
        <v>0.66925</v>
      </c>
      <c r="AK94" s="16" t="n">
        <v>1.20833333333333</v>
      </c>
      <c r="AL94" s="16" t="n">
        <v>0.416666666666667</v>
      </c>
      <c r="AM94" s="16" t="n">
        <v>0</v>
      </c>
      <c r="AN94" s="16" t="n">
        <v>720.07443502828</v>
      </c>
      <c r="AO94" s="16" t="n">
        <v>199.90706497172</v>
      </c>
      <c r="AP94" s="16" t="n">
        <v>93.89293502828</v>
      </c>
      <c r="AQ94" s="14" t="n">
        <v>199.90706497172</v>
      </c>
      <c r="AR94" s="14" t="s">
        <v>372</v>
      </c>
      <c r="AS94" s="29"/>
      <c r="AT94" s="14" t="n">
        <v>183.019097748925</v>
      </c>
      <c r="AU94" s="17" t="n">
        <v>3.9344223847946</v>
      </c>
      <c r="AV94" s="17" t="n">
        <v>3.51934073805243</v>
      </c>
      <c r="AW94" s="16" t="n">
        <v>0</v>
      </c>
      <c r="AX94" s="14" t="s">
        <v>257</v>
      </c>
      <c r="AY94" s="14" t="s">
        <v>257</v>
      </c>
      <c r="AZ94" s="14" t="s">
        <v>373</v>
      </c>
      <c r="BA94" s="14" t="s">
        <v>259</v>
      </c>
      <c r="BB94" s="14" t="s">
        <v>383</v>
      </c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</row>
    <row r="95" customFormat="false" ht="15" hidden="false" customHeight="false" outlineLevel="0" collapsed="false">
      <c r="C95" s="14" t="s">
        <v>263</v>
      </c>
      <c r="D95" s="14" t="s">
        <v>264</v>
      </c>
      <c r="E95" s="14" t="s">
        <v>321</v>
      </c>
      <c r="F95" s="14" t="s">
        <v>253</v>
      </c>
      <c r="G95" s="29" t="n">
        <v>46600</v>
      </c>
      <c r="H95" s="29" t="n">
        <v>46630</v>
      </c>
      <c r="I95" s="14" t="s">
        <v>302</v>
      </c>
      <c r="J95" s="14" t="s">
        <v>288</v>
      </c>
      <c r="K95" s="14" t="n">
        <v>31</v>
      </c>
      <c r="L95" s="16" t="n">
        <v>96.3723817002108</v>
      </c>
      <c r="M95" s="30" t="n">
        <v>27.9159174302794</v>
      </c>
      <c r="N95" s="16" t="n">
        <v>12.0579364515424</v>
      </c>
      <c r="O95" s="16" t="n">
        <v>-9.19101077622747</v>
      </c>
      <c r="P95" s="16" t="n">
        <v>-1.65823558521852</v>
      </c>
      <c r="Q95" s="16" t="n">
        <v>3.12489942847702</v>
      </c>
      <c r="R95" s="16" t="n">
        <v>-3.37303335950738</v>
      </c>
      <c r="S95" s="16" t="n">
        <v>0</v>
      </c>
      <c r="T95" s="16" t="n">
        <v>10.1515669352935</v>
      </c>
      <c r="U95" s="16" t="n">
        <v>25</v>
      </c>
      <c r="V95" s="16" t="n">
        <v>25</v>
      </c>
      <c r="W95" s="16" t="n">
        <v>563.5625</v>
      </c>
      <c r="X95" s="16" t="n">
        <v>0</v>
      </c>
      <c r="Y95" s="16" t="n">
        <v>0</v>
      </c>
      <c r="Z95" s="16" t="n">
        <v>0</v>
      </c>
      <c r="AA95" s="16" t="n">
        <v>0</v>
      </c>
      <c r="AB95" s="16" t="n">
        <v>0</v>
      </c>
      <c r="AC95" s="16" t="n">
        <v>563.5625</v>
      </c>
      <c r="AD95" s="16" t="n">
        <v>93.89293502828</v>
      </c>
      <c r="AE95" s="16" t="n">
        <v>0</v>
      </c>
      <c r="AF95" s="16" t="n">
        <v>4.1325217956513</v>
      </c>
      <c r="AG95" s="16" t="n">
        <v>89.7604132326287</v>
      </c>
      <c r="AH95" s="16" t="n">
        <v>3.72479513964218</v>
      </c>
      <c r="AI95" s="16" t="n">
        <v>3.72479513964218</v>
      </c>
      <c r="AJ95" s="16" t="n">
        <v>0.66925</v>
      </c>
      <c r="AK95" s="16" t="n">
        <v>1.20833333333333</v>
      </c>
      <c r="AL95" s="16" t="n">
        <v>0.416666666666667</v>
      </c>
      <c r="AM95" s="16" t="n">
        <v>0</v>
      </c>
      <c r="AN95" s="16" t="n">
        <v>715.941913232629</v>
      </c>
      <c r="AO95" s="16" t="n">
        <v>204.039586767371</v>
      </c>
      <c r="AP95" s="16" t="n">
        <v>89.7604132326287</v>
      </c>
      <c r="AQ95" s="14" t="n">
        <v>204.039586767371</v>
      </c>
      <c r="AR95" s="14" t="s">
        <v>372</v>
      </c>
      <c r="AS95" s="29"/>
      <c r="AT95" s="14" t="n">
        <v>184.990329246214</v>
      </c>
      <c r="AU95" s="17" t="n">
        <v>3.87015859774887</v>
      </c>
      <c r="AV95" s="17" t="n">
        <v>3.61464820812706</v>
      </c>
      <c r="AW95" s="16" t="n">
        <v>0</v>
      </c>
      <c r="AX95" s="14" t="s">
        <v>257</v>
      </c>
      <c r="AY95" s="14" t="s">
        <v>257</v>
      </c>
      <c r="AZ95" s="14" t="s">
        <v>373</v>
      </c>
      <c r="BA95" s="14" t="s">
        <v>259</v>
      </c>
      <c r="BB95" s="14" t="s">
        <v>384</v>
      </c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</row>
    <row r="96" customFormat="false" ht="15" hidden="false" customHeight="false" outlineLevel="0" collapsed="false">
      <c r="C96" s="14" t="s">
        <v>263</v>
      </c>
      <c r="D96" s="14" t="s">
        <v>264</v>
      </c>
      <c r="E96" s="14" t="s">
        <v>323</v>
      </c>
      <c r="F96" s="14" t="s">
        <v>253</v>
      </c>
      <c r="G96" s="29" t="n">
        <v>46631</v>
      </c>
      <c r="H96" s="29" t="n">
        <v>46660</v>
      </c>
      <c r="I96" s="14" t="s">
        <v>302</v>
      </c>
      <c r="J96" s="14" t="s">
        <v>288</v>
      </c>
      <c r="K96" s="14" t="n">
        <v>30</v>
      </c>
      <c r="L96" s="16" t="n">
        <v>144.558572550316</v>
      </c>
      <c r="M96" s="30" t="n">
        <v>27.9159174302794</v>
      </c>
      <c r="N96" s="16" t="n">
        <v>18.0869046773135</v>
      </c>
      <c r="O96" s="16" t="n">
        <v>-9.19101077622747</v>
      </c>
      <c r="P96" s="16" t="n">
        <v>-2.48735337782778</v>
      </c>
      <c r="Q96" s="16" t="n">
        <v>4.68734914271553</v>
      </c>
      <c r="R96" s="16" t="n">
        <v>-5.05955003926106</v>
      </c>
      <c r="S96" s="16" t="n">
        <v>0</v>
      </c>
      <c r="T96" s="16" t="n">
        <v>15.2273504029402</v>
      </c>
      <c r="U96" s="16" t="n">
        <v>25</v>
      </c>
      <c r="V96" s="16" t="n">
        <v>25</v>
      </c>
      <c r="W96" s="16" t="n">
        <v>563.5625</v>
      </c>
      <c r="X96" s="16" t="n">
        <v>0</v>
      </c>
      <c r="Y96" s="16" t="n">
        <v>0</v>
      </c>
      <c r="Z96" s="16" t="n">
        <v>0</v>
      </c>
      <c r="AA96" s="16" t="n">
        <v>0</v>
      </c>
      <c r="AB96" s="16" t="n">
        <v>0</v>
      </c>
      <c r="AC96" s="16" t="n">
        <v>563.5625</v>
      </c>
      <c r="AD96" s="16" t="n">
        <v>89.7604132326287</v>
      </c>
      <c r="AE96" s="16" t="n">
        <v>0</v>
      </c>
      <c r="AF96" s="16" t="n">
        <v>9.24632348196098</v>
      </c>
      <c r="AG96" s="16" t="n">
        <v>80.5140897506677</v>
      </c>
      <c r="AH96" s="16" t="n">
        <v>3.68677692097924</v>
      </c>
      <c r="AI96" s="16" t="n">
        <v>3.68677692097924</v>
      </c>
      <c r="AJ96" s="16" t="n">
        <v>0.66925</v>
      </c>
      <c r="AK96" s="16" t="n">
        <v>1.20833333333333</v>
      </c>
      <c r="AL96" s="16" t="n">
        <v>0.416666666666667</v>
      </c>
      <c r="AM96" s="16" t="n">
        <v>0</v>
      </c>
      <c r="AN96" s="16" t="n">
        <v>706.695589750668</v>
      </c>
      <c r="AO96" s="16" t="n">
        <v>213.285910249332</v>
      </c>
      <c r="AP96" s="16" t="n">
        <v>80.5140897506677</v>
      </c>
      <c r="AQ96" s="14" t="n">
        <v>213.285910249332</v>
      </c>
      <c r="AR96" s="14" t="s">
        <v>372</v>
      </c>
      <c r="AS96" s="29"/>
      <c r="AT96" s="14" t="n">
        <v>187.947176492147</v>
      </c>
      <c r="AU96" s="17" t="n">
        <v>3.76007558581331</v>
      </c>
      <c r="AV96" s="17" t="n">
        <v>3.73483510678859</v>
      </c>
      <c r="AW96" s="16" t="n">
        <v>0</v>
      </c>
      <c r="AX96" s="14" t="s">
        <v>257</v>
      </c>
      <c r="AY96" s="14" t="s">
        <v>257</v>
      </c>
      <c r="AZ96" s="14" t="s">
        <v>373</v>
      </c>
      <c r="BA96" s="14" t="s">
        <v>259</v>
      </c>
      <c r="BB96" s="14" t="s">
        <v>385</v>
      </c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</row>
    <row r="97" customFormat="false" ht="15" hidden="false" customHeight="false" outlineLevel="0" collapsed="false">
      <c r="C97" s="14" t="s">
        <v>263</v>
      </c>
      <c r="D97" s="14" t="s">
        <v>264</v>
      </c>
      <c r="E97" s="14" t="s">
        <v>325</v>
      </c>
      <c r="F97" s="14" t="s">
        <v>253</v>
      </c>
      <c r="G97" s="29" t="n">
        <v>46661</v>
      </c>
      <c r="H97" s="29" t="n">
        <v>46691</v>
      </c>
      <c r="I97" s="14" t="s">
        <v>302</v>
      </c>
      <c r="J97" s="14" t="s">
        <v>288</v>
      </c>
      <c r="K97" s="14" t="n">
        <v>31</v>
      </c>
      <c r="L97" s="16" t="n">
        <v>240.930954250527</v>
      </c>
      <c r="M97" s="30" t="n">
        <v>27.9159174302794</v>
      </c>
      <c r="N97" s="16" t="n">
        <v>30.1448411288559</v>
      </c>
      <c r="O97" s="16" t="n">
        <v>-9.19101077622747</v>
      </c>
      <c r="P97" s="16" t="n">
        <v>-4.14558896304631</v>
      </c>
      <c r="Q97" s="16" t="n">
        <v>7.81224857119256</v>
      </c>
      <c r="R97" s="16" t="n">
        <v>-8.43258339876844</v>
      </c>
      <c r="S97" s="16" t="n">
        <v>0</v>
      </c>
      <c r="T97" s="16" t="n">
        <v>25.3789173382337</v>
      </c>
      <c r="U97" s="16" t="n">
        <v>25</v>
      </c>
      <c r="V97" s="16" t="n">
        <v>25</v>
      </c>
      <c r="W97" s="16" t="n">
        <v>563.5625</v>
      </c>
      <c r="X97" s="16" t="n">
        <v>11.90625</v>
      </c>
      <c r="Y97" s="16" t="n">
        <v>11.90625</v>
      </c>
      <c r="Z97" s="16" t="n">
        <v>0</v>
      </c>
      <c r="AA97" s="16" t="n">
        <v>0</v>
      </c>
      <c r="AB97" s="16" t="n">
        <v>0</v>
      </c>
      <c r="AC97" s="16" t="n">
        <v>551.65625</v>
      </c>
      <c r="AD97" s="16" t="n">
        <v>80.5140897506677</v>
      </c>
      <c r="AE97" s="16" t="n">
        <v>0</v>
      </c>
      <c r="AF97" s="16" t="n">
        <v>7.57326968826348</v>
      </c>
      <c r="AG97" s="16" t="n">
        <v>72.9408200624042</v>
      </c>
      <c r="AH97" s="16" t="n">
        <v>3.60514764997021</v>
      </c>
      <c r="AI97" s="16" t="n">
        <v>3.60514764997021</v>
      </c>
      <c r="AJ97" s="16" t="n">
        <v>0.66925</v>
      </c>
      <c r="AK97" s="16" t="n">
        <v>1.20833333333333</v>
      </c>
      <c r="AL97" s="16" t="n">
        <v>0.416666666666667</v>
      </c>
      <c r="AM97" s="16" t="n">
        <v>0</v>
      </c>
      <c r="AN97" s="16" t="n">
        <v>687.216070062404</v>
      </c>
      <c r="AO97" s="16" t="n">
        <v>220.859179937596</v>
      </c>
      <c r="AP97" s="16" t="n">
        <v>72.9408200624042</v>
      </c>
      <c r="AQ97" s="14" t="n">
        <v>220.859179937596</v>
      </c>
      <c r="AR97" s="14" t="s">
        <v>372</v>
      </c>
      <c r="AS97" s="29"/>
      <c r="AT97" s="14" t="n">
        <v>192.87525523537</v>
      </c>
      <c r="AU97" s="17" t="n">
        <v>3.56300796192741</v>
      </c>
      <c r="AV97" s="17" t="n">
        <v>3.90231221151063</v>
      </c>
      <c r="AW97" s="16" t="n">
        <v>0</v>
      </c>
      <c r="AX97" s="14" t="s">
        <v>257</v>
      </c>
      <c r="AY97" s="14" t="s">
        <v>257</v>
      </c>
      <c r="AZ97" s="14" t="s">
        <v>258</v>
      </c>
      <c r="BA97" s="14" t="s">
        <v>259</v>
      </c>
      <c r="BB97" s="14" t="s">
        <v>386</v>
      </c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</row>
    <row r="98" customFormat="false" ht="15" hidden="false" customHeight="false" outlineLevel="0" collapsed="false">
      <c r="C98" s="14" t="s">
        <v>263</v>
      </c>
      <c r="D98" s="14" t="s">
        <v>264</v>
      </c>
      <c r="E98" s="14" t="s">
        <v>327</v>
      </c>
      <c r="F98" s="14" t="s">
        <v>253</v>
      </c>
      <c r="G98" s="29" t="n">
        <v>46692</v>
      </c>
      <c r="H98" s="29" t="n">
        <v>46721</v>
      </c>
      <c r="I98" s="14" t="s">
        <v>328</v>
      </c>
      <c r="J98" s="14" t="s">
        <v>303</v>
      </c>
      <c r="K98" s="14" t="n">
        <v>30</v>
      </c>
      <c r="L98" s="16" t="n">
        <v>133.337999150025</v>
      </c>
      <c r="M98" s="30" t="n">
        <v>22.9096754759419</v>
      </c>
      <c r="N98" s="16" t="n">
        <v>10.6744741600661</v>
      </c>
      <c r="O98" s="16" t="n">
        <v>-7.50586264815323</v>
      </c>
      <c r="P98" s="16" t="n">
        <v>-0.792152877978208</v>
      </c>
      <c r="Q98" s="16" t="n">
        <v>5.21542270969534</v>
      </c>
      <c r="R98" s="16" t="n">
        <v>-4.66682997025089</v>
      </c>
      <c r="S98" s="16" t="n">
        <v>0</v>
      </c>
      <c r="T98" s="16" t="n">
        <v>10.4309140215323</v>
      </c>
      <c r="U98" s="16" t="n">
        <v>25</v>
      </c>
      <c r="V98" s="16" t="n">
        <v>25</v>
      </c>
      <c r="W98" s="16" t="n">
        <v>551.65625</v>
      </c>
      <c r="X98" s="16" t="n">
        <v>0</v>
      </c>
      <c r="Y98" s="16" t="n">
        <v>0</v>
      </c>
      <c r="Z98" s="16" t="n">
        <v>0</v>
      </c>
      <c r="AA98" s="16" t="n">
        <v>0</v>
      </c>
      <c r="AB98" s="16" t="n">
        <v>0</v>
      </c>
      <c r="AC98" s="16" t="n">
        <v>551.65625</v>
      </c>
      <c r="AD98" s="16" t="n">
        <v>72.9408200624042</v>
      </c>
      <c r="AE98" s="16" t="n">
        <v>0</v>
      </c>
      <c r="AF98" s="16" t="n">
        <v>4.83030134620848</v>
      </c>
      <c r="AG98" s="16" t="n">
        <v>68.1105187161957</v>
      </c>
      <c r="AH98" s="16" t="n">
        <v>3.40644600865716</v>
      </c>
      <c r="AI98" s="16" t="n">
        <v>3.40644600865716</v>
      </c>
      <c r="AJ98" s="16" t="n">
        <v>0.569166666666667</v>
      </c>
      <c r="AK98" s="16" t="n">
        <v>1.20833333333333</v>
      </c>
      <c r="AL98" s="16" t="n">
        <v>0.416666666666667</v>
      </c>
      <c r="AM98" s="16" t="n">
        <v>0</v>
      </c>
      <c r="AN98" s="16" t="n">
        <v>682.385768716196</v>
      </c>
      <c r="AO98" s="16" t="n">
        <v>225.689481283804</v>
      </c>
      <c r="AP98" s="16" t="n">
        <v>68.1105187161957</v>
      </c>
      <c r="AQ98" s="14" t="n">
        <v>225.689481283804</v>
      </c>
      <c r="AR98" s="14" t="s">
        <v>372</v>
      </c>
      <c r="AS98" s="29"/>
      <c r="AT98" s="14" t="n">
        <v>199.057289431103</v>
      </c>
      <c r="AU98" s="17" t="n">
        <v>3.4280873142924</v>
      </c>
      <c r="AV98" s="17" t="n">
        <v>4.11720504147335</v>
      </c>
      <c r="AW98" s="16" t="n">
        <v>0</v>
      </c>
      <c r="AX98" s="14" t="s">
        <v>257</v>
      </c>
      <c r="AY98" s="14" t="s">
        <v>257</v>
      </c>
      <c r="AZ98" s="14" t="s">
        <v>373</v>
      </c>
      <c r="BA98" s="14" t="s">
        <v>259</v>
      </c>
      <c r="BB98" s="14" t="s">
        <v>387</v>
      </c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</row>
    <row r="99" customFormat="false" ht="15" hidden="false" customHeight="false" outlineLevel="0" collapsed="false">
      <c r="C99" s="14" t="s">
        <v>263</v>
      </c>
      <c r="D99" s="14" t="s">
        <v>264</v>
      </c>
      <c r="E99" s="14" t="s">
        <v>330</v>
      </c>
      <c r="F99" s="14" t="s">
        <v>253</v>
      </c>
      <c r="G99" s="29" t="n">
        <v>46722</v>
      </c>
      <c r="H99" s="29" t="n">
        <v>46752</v>
      </c>
      <c r="I99" s="14" t="s">
        <v>328</v>
      </c>
      <c r="J99" s="14" t="s">
        <v>303</v>
      </c>
      <c r="K99" s="14" t="n">
        <v>31</v>
      </c>
      <c r="L99" s="16" t="n">
        <v>133.337999150025</v>
      </c>
      <c r="M99" s="30" t="n">
        <v>22.9096754759419</v>
      </c>
      <c r="N99" s="16" t="n">
        <v>10.6744741600661</v>
      </c>
      <c r="O99" s="16" t="n">
        <v>-7.50586264815323</v>
      </c>
      <c r="P99" s="16" t="n">
        <v>-0.792152877978208</v>
      </c>
      <c r="Q99" s="16" t="n">
        <v>5.21542270969534</v>
      </c>
      <c r="R99" s="16" t="n">
        <v>-4.66682997025089</v>
      </c>
      <c r="S99" s="16" t="n">
        <v>0</v>
      </c>
      <c r="T99" s="16" t="n">
        <v>10.4309140215323</v>
      </c>
      <c r="U99" s="16" t="n">
        <v>25</v>
      </c>
      <c r="V99" s="16" t="n">
        <v>25</v>
      </c>
      <c r="W99" s="16" t="n">
        <v>551.65625</v>
      </c>
      <c r="X99" s="16" t="n">
        <v>0</v>
      </c>
      <c r="Y99" s="16" t="n">
        <v>0</v>
      </c>
      <c r="Z99" s="16" t="n">
        <v>0</v>
      </c>
      <c r="AA99" s="16" t="n">
        <v>0</v>
      </c>
      <c r="AB99" s="16" t="n">
        <v>0</v>
      </c>
      <c r="AC99" s="16" t="n">
        <v>551.65625</v>
      </c>
      <c r="AD99" s="16" t="n">
        <v>68.1105187161957</v>
      </c>
      <c r="AE99" s="16" t="n">
        <v>0</v>
      </c>
      <c r="AF99" s="16" t="n">
        <v>4.85681984045698</v>
      </c>
      <c r="AG99" s="16" t="n">
        <v>63.2536988757388</v>
      </c>
      <c r="AH99" s="16" t="n">
        <v>3.37992751440867</v>
      </c>
      <c r="AI99" s="16" t="n">
        <v>3.37992751440867</v>
      </c>
      <c r="AJ99" s="16" t="n">
        <v>0.569166666666667</v>
      </c>
      <c r="AK99" s="16" t="n">
        <v>1.20833333333333</v>
      </c>
      <c r="AL99" s="16" t="n">
        <v>0.416666666666667</v>
      </c>
      <c r="AM99" s="16" t="n">
        <v>0</v>
      </c>
      <c r="AN99" s="16" t="n">
        <v>677.528948875739</v>
      </c>
      <c r="AO99" s="16" t="n">
        <v>230.546301124261</v>
      </c>
      <c r="AP99" s="16" t="n">
        <v>63.2536988757388</v>
      </c>
      <c r="AQ99" s="14" t="n">
        <v>230.546301124261</v>
      </c>
      <c r="AR99" s="14" t="s">
        <v>372</v>
      </c>
      <c r="AS99" s="29"/>
      <c r="AT99" s="14" t="n">
        <v>202.99310364467</v>
      </c>
      <c r="AU99" s="17" t="n">
        <v>3.33769441774594</v>
      </c>
      <c r="AV99" s="17" t="n">
        <v>4.29880592883088</v>
      </c>
      <c r="AW99" s="16" t="n">
        <v>0</v>
      </c>
      <c r="AX99" s="14" t="s">
        <v>257</v>
      </c>
      <c r="AY99" s="14" t="s">
        <v>257</v>
      </c>
      <c r="AZ99" s="14" t="s">
        <v>373</v>
      </c>
      <c r="BA99" s="14" t="s">
        <v>259</v>
      </c>
      <c r="BB99" s="14" t="s">
        <v>388</v>
      </c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</row>
    <row r="100" customFormat="false" ht="15" hidden="false" customHeight="false" outlineLevel="0" collapsed="false">
      <c r="C100" s="14" t="s">
        <v>263</v>
      </c>
      <c r="D100" s="14" t="s">
        <v>264</v>
      </c>
      <c r="E100" s="14" t="s">
        <v>332</v>
      </c>
      <c r="F100" s="14" t="s">
        <v>253</v>
      </c>
      <c r="G100" s="29" t="n">
        <v>46753</v>
      </c>
      <c r="H100" s="29" t="n">
        <v>46783</v>
      </c>
      <c r="I100" s="14" t="s">
        <v>328</v>
      </c>
      <c r="J100" s="14" t="s">
        <v>303</v>
      </c>
      <c r="K100" s="14" t="n">
        <v>31</v>
      </c>
      <c r="L100" s="16" t="n">
        <v>133.337999150025</v>
      </c>
      <c r="M100" s="30" t="n">
        <v>22.9096754759419</v>
      </c>
      <c r="N100" s="16" t="n">
        <v>10.6744741600661</v>
      </c>
      <c r="O100" s="16" t="n">
        <v>-7.50586264815323</v>
      </c>
      <c r="P100" s="16" t="n">
        <v>-0.792152877978208</v>
      </c>
      <c r="Q100" s="16" t="n">
        <v>5.21542270969534</v>
      </c>
      <c r="R100" s="16" t="n">
        <v>-4.66682997025089</v>
      </c>
      <c r="S100" s="16" t="n">
        <v>0</v>
      </c>
      <c r="T100" s="16" t="n">
        <v>10.4309140215323</v>
      </c>
      <c r="U100" s="16" t="n">
        <v>25</v>
      </c>
      <c r="V100" s="16" t="n">
        <v>25</v>
      </c>
      <c r="W100" s="16" t="n">
        <v>551.65625</v>
      </c>
      <c r="X100" s="16" t="n">
        <v>11.90625</v>
      </c>
      <c r="Y100" s="16" t="n">
        <v>11.90625</v>
      </c>
      <c r="Z100" s="16" t="n">
        <v>0</v>
      </c>
      <c r="AA100" s="16" t="n">
        <v>0</v>
      </c>
      <c r="AB100" s="16" t="n">
        <v>0</v>
      </c>
      <c r="AC100" s="16" t="n">
        <v>539.75</v>
      </c>
      <c r="AD100" s="16" t="n">
        <v>63.2536988757388</v>
      </c>
      <c r="AE100" s="16" t="n">
        <v>7.02276607799145</v>
      </c>
      <c r="AF100" s="16" t="n">
        <v>0</v>
      </c>
      <c r="AG100" s="16" t="n">
        <v>70.2764649537302</v>
      </c>
      <c r="AH100" s="16" t="n">
        <v>3.35326343285709</v>
      </c>
      <c r="AI100" s="16" t="n">
        <v>3.35326343285709</v>
      </c>
      <c r="AJ100" s="16" t="n">
        <v>0.569166666666667</v>
      </c>
      <c r="AK100" s="16" t="n">
        <v>1.20833333333333</v>
      </c>
      <c r="AL100" s="16" t="n">
        <v>0.416666666666667</v>
      </c>
      <c r="AM100" s="16" t="n">
        <v>0</v>
      </c>
      <c r="AN100" s="16" t="n">
        <v>672.64546495373</v>
      </c>
      <c r="AO100" s="16" t="n">
        <v>223.52353504627</v>
      </c>
      <c r="AP100" s="16" t="n">
        <v>70.2764649537302</v>
      </c>
      <c r="AQ100" s="14" t="n">
        <v>223.52353504627</v>
      </c>
      <c r="AR100" s="14" t="s">
        <v>372</v>
      </c>
      <c r="AS100" s="29"/>
      <c r="AT100" s="14" t="n">
        <v>202.436477893904</v>
      </c>
      <c r="AU100" s="17" t="n">
        <v>3.32274831073805</v>
      </c>
      <c r="AV100" s="17" t="n">
        <v>4.39530107942213</v>
      </c>
      <c r="AW100" s="16" t="n">
        <v>0</v>
      </c>
      <c r="AX100" s="14" t="s">
        <v>257</v>
      </c>
      <c r="AY100" s="14" t="s">
        <v>257</v>
      </c>
      <c r="AZ100" s="14" t="s">
        <v>373</v>
      </c>
      <c r="BA100" s="14" t="s">
        <v>259</v>
      </c>
      <c r="BB100" s="14" t="s">
        <v>389</v>
      </c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</row>
    <row r="101" customFormat="false" ht="15" hidden="false" customHeight="false" outlineLevel="0" collapsed="false">
      <c r="C101" s="14" t="s">
        <v>263</v>
      </c>
      <c r="D101" s="14" t="s">
        <v>264</v>
      </c>
      <c r="E101" s="14" t="s">
        <v>334</v>
      </c>
      <c r="F101" s="14" t="s">
        <v>335</v>
      </c>
      <c r="G101" s="29" t="n">
        <v>46784</v>
      </c>
      <c r="H101" s="29" t="n">
        <v>46873</v>
      </c>
      <c r="I101" s="14" t="s">
        <v>328</v>
      </c>
      <c r="J101" s="14" t="s">
        <v>255</v>
      </c>
      <c r="K101" s="14" t="n">
        <v>90</v>
      </c>
      <c r="L101" s="16" t="n">
        <v>452.444064998389</v>
      </c>
      <c r="M101" s="30" t="n">
        <v>28.8693217195837</v>
      </c>
      <c r="N101" s="16" t="n">
        <v>63.1848168341226</v>
      </c>
      <c r="O101" s="16" t="n">
        <v>-25.4689813068893</v>
      </c>
      <c r="P101" s="16" t="n">
        <v>-9.42895888180832</v>
      </c>
      <c r="Q101" s="16" t="n">
        <v>-2.58122943313587</v>
      </c>
      <c r="R101" s="16" t="n">
        <v>-15.8355422749436</v>
      </c>
      <c r="S101" s="16" t="n">
        <v>0</v>
      </c>
      <c r="T101" s="16" t="n">
        <v>35.3390862442348</v>
      </c>
      <c r="U101" s="16" t="n">
        <v>25</v>
      </c>
      <c r="V101" s="16" t="n">
        <v>25</v>
      </c>
      <c r="W101" s="16" t="n">
        <v>539.75</v>
      </c>
      <c r="X101" s="16" t="n">
        <v>11.90625</v>
      </c>
      <c r="Y101" s="16" t="n">
        <v>11.90625</v>
      </c>
      <c r="Z101" s="16" t="n">
        <v>0</v>
      </c>
      <c r="AA101" s="16" t="n">
        <v>0</v>
      </c>
      <c r="AB101" s="16" t="n">
        <v>0</v>
      </c>
      <c r="AC101" s="16" t="n">
        <v>527.84375</v>
      </c>
      <c r="AD101" s="16" t="n">
        <v>70.2764649537302</v>
      </c>
      <c r="AE101" s="16" t="n">
        <v>5.5745173620563</v>
      </c>
      <c r="AF101" s="16" t="n">
        <v>12.5599392492939</v>
      </c>
      <c r="AG101" s="16" t="n">
        <v>63.2910430664926</v>
      </c>
      <c r="AH101" s="16" t="n">
        <v>9.86491435699719</v>
      </c>
      <c r="AI101" s="16" t="n">
        <v>9.86491435699719</v>
      </c>
      <c r="AJ101" s="16" t="n">
        <v>1.7075</v>
      </c>
      <c r="AK101" s="16" t="n">
        <v>3.625</v>
      </c>
      <c r="AL101" s="16" t="n">
        <v>1.25</v>
      </c>
      <c r="AM101" s="16" t="n">
        <v>0</v>
      </c>
      <c r="AN101" s="16" t="n">
        <v>653.753793066493</v>
      </c>
      <c r="AO101" s="16" t="n">
        <v>229.786313254069</v>
      </c>
      <c r="AP101" s="16" t="n">
        <v>64.0136867459307</v>
      </c>
      <c r="AQ101" s="14" t="n">
        <v>230.508956933507</v>
      </c>
      <c r="AR101" s="14" t="s">
        <v>372</v>
      </c>
      <c r="AS101" s="29"/>
      <c r="AT101" s="14" t="n">
        <v>211.971207714838</v>
      </c>
      <c r="AU101" s="17" t="n">
        <v>3.08416317534021</v>
      </c>
      <c r="AV101" s="17" t="n">
        <v>4.93048932090307</v>
      </c>
      <c r="AW101" s="16" t="n">
        <v>0</v>
      </c>
      <c r="AX101" s="14" t="s">
        <v>257</v>
      </c>
      <c r="AY101" s="14" t="s">
        <v>257</v>
      </c>
      <c r="AZ101" s="14" t="s">
        <v>258</v>
      </c>
      <c r="BA101" s="14" t="s">
        <v>259</v>
      </c>
      <c r="BB101" s="14" t="s">
        <v>390</v>
      </c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</row>
    <row r="102" customFormat="false" ht="15" hidden="false" customHeight="false" outlineLevel="0" collapsed="false">
      <c r="C102" s="14" t="s">
        <v>263</v>
      </c>
      <c r="D102" s="14" t="s">
        <v>264</v>
      </c>
      <c r="E102" s="14" t="s">
        <v>337</v>
      </c>
      <c r="F102" s="14" t="s">
        <v>335</v>
      </c>
      <c r="G102" s="29" t="n">
        <v>46874</v>
      </c>
      <c r="H102" s="29" t="n">
        <v>46965</v>
      </c>
      <c r="I102" s="14" t="s">
        <v>328</v>
      </c>
      <c r="J102" s="14" t="s">
        <v>271</v>
      </c>
      <c r="K102" s="14" t="n">
        <v>92</v>
      </c>
      <c r="L102" s="16" t="n">
        <v>495.235855453629</v>
      </c>
      <c r="M102" s="30" t="n">
        <v>27.6901735836919</v>
      </c>
      <c r="N102" s="16" t="n">
        <v>63.3212208911272</v>
      </c>
      <c r="O102" s="16" t="n">
        <v>-27.8778167751957</v>
      </c>
      <c r="P102" s="16" t="n">
        <v>-8.86085102898288</v>
      </c>
      <c r="Q102" s="16" t="n">
        <v>-1.89394252465263</v>
      </c>
      <c r="R102" s="16" t="n">
        <v>-17.333254940877</v>
      </c>
      <c r="S102" s="16" t="n">
        <v>0</v>
      </c>
      <c r="T102" s="16" t="n">
        <v>35.2331723966147</v>
      </c>
      <c r="U102" s="16" t="n">
        <v>25</v>
      </c>
      <c r="V102" s="16" t="n">
        <v>25</v>
      </c>
      <c r="W102" s="16" t="n">
        <v>527.84375</v>
      </c>
      <c r="X102" s="16" t="n">
        <v>11.90625</v>
      </c>
      <c r="Y102" s="16" t="n">
        <v>11.90625</v>
      </c>
      <c r="Z102" s="16" t="n">
        <v>0</v>
      </c>
      <c r="AA102" s="16" t="n">
        <v>0</v>
      </c>
      <c r="AB102" s="16" t="n">
        <v>0</v>
      </c>
      <c r="AC102" s="16" t="n">
        <v>515.9375</v>
      </c>
      <c r="AD102" s="16" t="n">
        <v>63.2910430664926</v>
      </c>
      <c r="AE102" s="16" t="n">
        <v>5.50545090998539</v>
      </c>
      <c r="AF102" s="16" t="n">
        <v>12.696942892969</v>
      </c>
      <c r="AG102" s="16" t="n">
        <v>56.099551083509</v>
      </c>
      <c r="AH102" s="16" t="n">
        <v>9.55293041363102</v>
      </c>
      <c r="AI102" s="16" t="n">
        <v>9.55293041363102</v>
      </c>
      <c r="AJ102" s="16" t="n">
        <v>1.7075</v>
      </c>
      <c r="AK102" s="16" t="n">
        <v>3.625</v>
      </c>
      <c r="AL102" s="16" t="n">
        <v>1.25</v>
      </c>
      <c r="AM102" s="16" t="n">
        <v>0</v>
      </c>
      <c r="AN102" s="16" t="n">
        <v>634.656051083509</v>
      </c>
      <c r="AO102" s="16" t="n">
        <v>236.840049439407</v>
      </c>
      <c r="AP102" s="16" t="n">
        <v>56.9599505605929</v>
      </c>
      <c r="AQ102" s="14" t="n">
        <v>237.700448916491</v>
      </c>
      <c r="AR102" s="14" t="s">
        <v>372</v>
      </c>
      <c r="AS102" s="29"/>
      <c r="AT102" s="14" t="n">
        <v>218.81914246316</v>
      </c>
      <c r="AU102" s="17" t="n">
        <v>2.90036805710615</v>
      </c>
      <c r="AV102" s="17" t="n">
        <v>5.39306097748227</v>
      </c>
      <c r="AW102" s="16" t="n">
        <v>0</v>
      </c>
      <c r="AX102" s="14" t="s">
        <v>257</v>
      </c>
      <c r="AY102" s="14" t="s">
        <v>257</v>
      </c>
      <c r="AZ102" s="14" t="s">
        <v>258</v>
      </c>
      <c r="BA102" s="14" t="s">
        <v>259</v>
      </c>
      <c r="BB102" s="14" t="s">
        <v>391</v>
      </c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</row>
    <row r="103" customFormat="false" ht="15" hidden="false" customHeight="false" outlineLevel="0" collapsed="false">
      <c r="C103" s="14" t="s">
        <v>263</v>
      </c>
      <c r="D103" s="14" t="s">
        <v>264</v>
      </c>
      <c r="E103" s="14" t="s">
        <v>339</v>
      </c>
      <c r="F103" s="14" t="s">
        <v>335</v>
      </c>
      <c r="G103" s="29" t="n">
        <v>46966</v>
      </c>
      <c r="H103" s="29" t="n">
        <v>47057</v>
      </c>
      <c r="I103" s="14" t="s">
        <v>328</v>
      </c>
      <c r="J103" s="14" t="s">
        <v>288</v>
      </c>
      <c r="K103" s="14" t="n">
        <v>92</v>
      </c>
      <c r="L103" s="16" t="n">
        <v>489.809262468454</v>
      </c>
      <c r="M103" s="30" t="n">
        <v>27.9159174302794</v>
      </c>
      <c r="N103" s="16" t="n">
        <v>63.7330869889932</v>
      </c>
      <c r="O103" s="16" t="n">
        <v>-27.5723430028742</v>
      </c>
      <c r="P103" s="16" t="n">
        <v>-9.04018599652975</v>
      </c>
      <c r="Q103" s="16" t="n">
        <v>-0.929886228966411</v>
      </c>
      <c r="R103" s="16" t="n">
        <v>-17.1433241863959</v>
      </c>
      <c r="S103" s="16" t="n">
        <v>0</v>
      </c>
      <c r="T103" s="16" t="n">
        <v>36.6196905771011</v>
      </c>
      <c r="U103" s="16" t="n">
        <v>25</v>
      </c>
      <c r="V103" s="16" t="n">
        <v>25</v>
      </c>
      <c r="W103" s="16" t="n">
        <v>515.9375</v>
      </c>
      <c r="X103" s="16" t="n">
        <v>11.90625</v>
      </c>
      <c r="Y103" s="16" t="n">
        <v>11.90625</v>
      </c>
      <c r="Z103" s="16" t="n">
        <v>0</v>
      </c>
      <c r="AA103" s="16" t="n">
        <v>0</v>
      </c>
      <c r="AB103" s="16" t="n">
        <v>0</v>
      </c>
      <c r="AC103" s="16" t="n">
        <v>504.03125</v>
      </c>
      <c r="AD103" s="16" t="n">
        <v>56.099551083509</v>
      </c>
      <c r="AE103" s="16" t="n">
        <v>4.93090538619565</v>
      </c>
      <c r="AF103" s="16" t="n">
        <v>13.8366399217903</v>
      </c>
      <c r="AG103" s="16" t="n">
        <v>47.1938165479143</v>
      </c>
      <c r="AH103" s="16" t="n">
        <v>9.2252060415065</v>
      </c>
      <c r="AI103" s="16" t="n">
        <v>9.2252060415065</v>
      </c>
      <c r="AJ103" s="16" t="n">
        <v>1.7075</v>
      </c>
      <c r="AK103" s="16" t="n">
        <v>3.625</v>
      </c>
      <c r="AL103" s="16" t="n">
        <v>1.25</v>
      </c>
      <c r="AM103" s="16" t="n">
        <v>0</v>
      </c>
      <c r="AN103" s="16" t="n">
        <v>613.844066547914</v>
      </c>
      <c r="AO103" s="16" t="n">
        <v>244.599829976493</v>
      </c>
      <c r="AP103" s="16" t="n">
        <v>49.2001700235068</v>
      </c>
      <c r="AQ103" s="14" t="n">
        <v>246.606183452086</v>
      </c>
      <c r="AR103" s="14" t="s">
        <v>372</v>
      </c>
      <c r="AS103" s="29"/>
      <c r="AT103" s="14" t="n">
        <v>222.262547194441</v>
      </c>
      <c r="AU103" s="17" t="n">
        <v>2.76179713719787</v>
      </c>
      <c r="AV103" s="17" t="n">
        <v>5.7309732766253</v>
      </c>
      <c r="AW103" s="16" t="n">
        <v>0</v>
      </c>
      <c r="AX103" s="14" t="s">
        <v>257</v>
      </c>
      <c r="AY103" s="14" t="s">
        <v>257</v>
      </c>
      <c r="AZ103" s="14" t="s">
        <v>258</v>
      </c>
      <c r="BA103" s="14" t="s">
        <v>259</v>
      </c>
      <c r="BB103" s="14" t="s">
        <v>392</v>
      </c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</row>
    <row r="104" customFormat="false" ht="15" hidden="false" customHeight="false" outlineLevel="0" collapsed="false">
      <c r="C104" s="14" t="s">
        <v>263</v>
      </c>
      <c r="D104" s="14" t="s">
        <v>264</v>
      </c>
      <c r="E104" s="14" t="s">
        <v>341</v>
      </c>
      <c r="F104" s="14" t="s">
        <v>335</v>
      </c>
      <c r="G104" s="29" t="n">
        <v>47058</v>
      </c>
      <c r="H104" s="29" t="n">
        <v>47149</v>
      </c>
      <c r="I104" s="14" t="s">
        <v>342</v>
      </c>
      <c r="J104" s="14" t="s">
        <v>303</v>
      </c>
      <c r="K104" s="14" t="n">
        <v>92</v>
      </c>
      <c r="L104" s="16" t="n">
        <v>400.00399710014</v>
      </c>
      <c r="M104" s="30" t="n">
        <v>22.9096754759419</v>
      </c>
      <c r="N104" s="16" t="n">
        <v>32.0226218946362</v>
      </c>
      <c r="O104" s="16" t="n">
        <v>-22.5170250047611</v>
      </c>
      <c r="P104" s="16" t="n">
        <v>-2.37639922246877</v>
      </c>
      <c r="Q104" s="16" t="n">
        <v>0.00152518350547968</v>
      </c>
      <c r="R104" s="16" t="n">
        <v>-14.0001398985049</v>
      </c>
      <c r="S104" s="16" t="n">
        <v>0</v>
      </c>
      <c r="T104" s="16" t="n">
        <v>15.647607957168</v>
      </c>
      <c r="U104" s="16" t="n">
        <v>25</v>
      </c>
      <c r="V104" s="16" t="n">
        <v>25</v>
      </c>
      <c r="W104" s="16" t="n">
        <v>504.03125</v>
      </c>
      <c r="X104" s="16" t="n">
        <v>11.90625</v>
      </c>
      <c r="Y104" s="16" t="n">
        <v>11.90625</v>
      </c>
      <c r="Z104" s="16" t="n">
        <v>0</v>
      </c>
      <c r="AA104" s="16" t="n">
        <v>0</v>
      </c>
      <c r="AB104" s="16" t="n">
        <v>0</v>
      </c>
      <c r="AC104" s="16" t="n">
        <v>492.125</v>
      </c>
      <c r="AD104" s="16" t="n">
        <v>47.1938165479143</v>
      </c>
      <c r="AE104" s="16" t="n">
        <v>11.874404891079</v>
      </c>
      <c r="AF104" s="16" t="n">
        <v>0.0631695392495753</v>
      </c>
      <c r="AG104" s="16" t="n">
        <v>59.0050518997437</v>
      </c>
      <c r="AH104" s="16" t="n">
        <v>9.05309330899736</v>
      </c>
      <c r="AI104" s="16" t="n">
        <v>9.05309330899736</v>
      </c>
      <c r="AJ104" s="16" t="n">
        <v>1.6245</v>
      </c>
      <c r="AK104" s="16" t="n">
        <v>3.625</v>
      </c>
      <c r="AL104" s="16" t="n">
        <v>1.25</v>
      </c>
      <c r="AM104" s="16" t="n">
        <v>0</v>
      </c>
      <c r="AN104" s="16" t="n">
        <v>613.749051899744</v>
      </c>
      <c r="AO104" s="16" t="n">
        <v>234.794948100256</v>
      </c>
      <c r="AP104" s="16" t="n">
        <v>59.0050518997437</v>
      </c>
      <c r="AQ104" s="14" t="n">
        <v>234.794948100256</v>
      </c>
      <c r="AR104" s="14" t="s">
        <v>372</v>
      </c>
      <c r="AS104" s="29"/>
      <c r="AT104" s="14" t="n">
        <v>222.261746608879</v>
      </c>
      <c r="AU104" s="17" t="n">
        <v>2.76137959529211</v>
      </c>
      <c r="AV104" s="17" t="n">
        <v>5.89614009047364</v>
      </c>
      <c r="AW104" s="16" t="n">
        <v>0</v>
      </c>
      <c r="AX104" s="14" t="s">
        <v>257</v>
      </c>
      <c r="AY104" s="14" t="s">
        <v>257</v>
      </c>
      <c r="AZ104" s="14" t="s">
        <v>258</v>
      </c>
      <c r="BA104" s="14" t="s">
        <v>259</v>
      </c>
      <c r="BB104" s="14" t="s">
        <v>393</v>
      </c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</row>
    <row r="105" customFormat="false" ht="15" hidden="false" customHeight="false" outlineLevel="0" collapsed="false">
      <c r="C105" s="14" t="s">
        <v>263</v>
      </c>
      <c r="D105" s="14" t="s">
        <v>264</v>
      </c>
      <c r="E105" s="14" t="s">
        <v>344</v>
      </c>
      <c r="F105" s="14" t="s">
        <v>335</v>
      </c>
      <c r="G105" s="29" t="n">
        <v>47150</v>
      </c>
      <c r="H105" s="29" t="n">
        <v>47238</v>
      </c>
      <c r="I105" s="14" t="s">
        <v>342</v>
      </c>
      <c r="J105" s="14" t="s">
        <v>255</v>
      </c>
      <c r="K105" s="14" t="n">
        <v>89</v>
      </c>
      <c r="L105" s="16" t="n">
        <v>452.432753896764</v>
      </c>
      <c r="M105" s="30" t="n">
        <v>28.8693217195837</v>
      </c>
      <c r="N105" s="16" t="n">
        <v>63.1832372137017</v>
      </c>
      <c r="O105" s="16" t="n">
        <v>-25.4683445823567</v>
      </c>
      <c r="P105" s="16" t="n">
        <v>-9.42872315783627</v>
      </c>
      <c r="Q105" s="16" t="n">
        <v>0.00165732670964526</v>
      </c>
      <c r="R105" s="16" t="n">
        <v>-15.8351463863867</v>
      </c>
      <c r="S105" s="16" t="n">
        <v>0</v>
      </c>
      <c r="T105" s="16" t="n">
        <v>37.9210249961884</v>
      </c>
      <c r="U105" s="16" t="n">
        <v>25</v>
      </c>
      <c r="V105" s="16" t="n">
        <v>25</v>
      </c>
      <c r="W105" s="16" t="n">
        <v>492.125</v>
      </c>
      <c r="X105" s="16" t="n">
        <v>11.90625</v>
      </c>
      <c r="Y105" s="16" t="n">
        <v>11.90625</v>
      </c>
      <c r="Z105" s="16" t="n">
        <v>0</v>
      </c>
      <c r="AA105" s="16" t="n">
        <v>0</v>
      </c>
      <c r="AB105" s="16" t="n">
        <v>0</v>
      </c>
      <c r="AC105" s="16" t="n">
        <v>480.21875</v>
      </c>
      <c r="AD105" s="16" t="n">
        <v>59.0050518997437</v>
      </c>
      <c r="AE105" s="16" t="n">
        <v>4.34705558023801</v>
      </c>
      <c r="AF105" s="16" t="n">
        <v>14.9947933867041</v>
      </c>
      <c r="AG105" s="16" t="n">
        <v>48.3573140932777</v>
      </c>
      <c r="AH105" s="16" t="n">
        <v>8.86753718972229</v>
      </c>
      <c r="AI105" s="16" t="n">
        <v>8.86753718972229</v>
      </c>
      <c r="AJ105" s="16" t="n">
        <v>1.6245</v>
      </c>
      <c r="AK105" s="16" t="n">
        <v>3.625</v>
      </c>
      <c r="AL105" s="16" t="n">
        <v>1.25</v>
      </c>
      <c r="AM105" s="16" t="n">
        <v>0</v>
      </c>
      <c r="AN105" s="16" t="n">
        <v>591.195064093278</v>
      </c>
      <c r="AO105" s="16" t="n">
        <v>242.27182067016</v>
      </c>
      <c r="AP105" s="16" t="n">
        <v>51.5281793298397</v>
      </c>
      <c r="AQ105" s="14" t="n">
        <v>245.442685906722</v>
      </c>
      <c r="AR105" s="14" t="s">
        <v>372</v>
      </c>
      <c r="AS105" s="29"/>
      <c r="AT105" s="14" t="n">
        <v>222.260166988458</v>
      </c>
      <c r="AU105" s="17" t="n">
        <v>2.65992360261287</v>
      </c>
      <c r="AV105" s="17" t="n">
        <v>6.05633882108123</v>
      </c>
      <c r="AW105" s="16" t="n">
        <v>0</v>
      </c>
      <c r="AX105" s="14" t="s">
        <v>257</v>
      </c>
      <c r="AY105" s="14" t="s">
        <v>257</v>
      </c>
      <c r="AZ105" s="14" t="s">
        <v>258</v>
      </c>
      <c r="BA105" s="14" t="s">
        <v>259</v>
      </c>
      <c r="BB105" s="14" t="s">
        <v>394</v>
      </c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</row>
    <row r="106" customFormat="false" ht="15" hidden="false" customHeight="false" outlineLevel="0" collapsed="false">
      <c r="C106" s="14" t="s">
        <v>263</v>
      </c>
      <c r="D106" s="14" t="s">
        <v>264</v>
      </c>
      <c r="E106" s="14" t="s">
        <v>346</v>
      </c>
      <c r="F106" s="14" t="s">
        <v>335</v>
      </c>
      <c r="G106" s="29" t="n">
        <v>47239</v>
      </c>
      <c r="H106" s="29" t="n">
        <v>47330</v>
      </c>
      <c r="I106" s="14" t="s">
        <v>342</v>
      </c>
      <c r="J106" s="14" t="s">
        <v>271</v>
      </c>
      <c r="K106" s="14" t="n">
        <v>92</v>
      </c>
      <c r="L106" s="16" t="n">
        <v>495.223474557243</v>
      </c>
      <c r="M106" s="30" t="n">
        <v>27.6901735836919</v>
      </c>
      <c r="N106" s="16" t="n">
        <v>63.3196378606049</v>
      </c>
      <c r="O106" s="16" t="n">
        <v>-27.8771198297763</v>
      </c>
      <c r="P106" s="16" t="n">
        <v>-8.86062950770715</v>
      </c>
      <c r="Q106" s="16" t="n">
        <v>0.00182875074658537</v>
      </c>
      <c r="R106" s="16" t="n">
        <v>-17.3328216095035</v>
      </c>
      <c r="S106" s="16" t="n">
        <v>0</v>
      </c>
      <c r="T106" s="16" t="n">
        <v>37.1280154941409</v>
      </c>
      <c r="U106" s="16" t="n">
        <v>25</v>
      </c>
      <c r="V106" s="16" t="n">
        <v>25</v>
      </c>
      <c r="W106" s="16" t="n">
        <v>480.21875</v>
      </c>
      <c r="X106" s="16" t="n">
        <v>11.90625</v>
      </c>
      <c r="Y106" s="16" t="n">
        <v>11.90625</v>
      </c>
      <c r="Z106" s="16" t="n">
        <v>0</v>
      </c>
      <c r="AA106" s="16" t="n">
        <v>0</v>
      </c>
      <c r="AB106" s="16" t="n">
        <v>0</v>
      </c>
      <c r="AC106" s="16" t="n">
        <v>468.3125</v>
      </c>
      <c r="AD106" s="16" t="n">
        <v>48.3573140932777</v>
      </c>
      <c r="AE106" s="16" t="n">
        <v>4.48985072344561</v>
      </c>
      <c r="AF106" s="16" t="n">
        <v>14.7115378504494</v>
      </c>
      <c r="AG106" s="16" t="n">
        <v>38.1356269662739</v>
      </c>
      <c r="AH106" s="16" t="n">
        <v>8.50057836713711</v>
      </c>
      <c r="AI106" s="16" t="n">
        <v>8.50057836713711</v>
      </c>
      <c r="AJ106" s="16" t="n">
        <v>1.6245</v>
      </c>
      <c r="AK106" s="16" t="n">
        <v>3.625</v>
      </c>
      <c r="AL106" s="16" t="n">
        <v>1.25</v>
      </c>
      <c r="AM106" s="16" t="n">
        <v>0</v>
      </c>
      <c r="AN106" s="16" t="n">
        <v>569.067126966274</v>
      </c>
      <c r="AO106" s="16" t="n">
        <v>252.778318414514</v>
      </c>
      <c r="AP106" s="16" t="n">
        <v>41.0216815854858</v>
      </c>
      <c r="AQ106" s="14" t="n">
        <v>255.664373033726</v>
      </c>
      <c r="AR106" s="14" t="s">
        <v>372</v>
      </c>
      <c r="AS106" s="29"/>
      <c r="AT106" s="14" t="n">
        <v>222.258583957936</v>
      </c>
      <c r="AU106" s="17" t="n">
        <v>2.56038312146348</v>
      </c>
      <c r="AV106" s="17" t="n">
        <v>6.23508940620072</v>
      </c>
      <c r="AW106" s="16" t="n">
        <v>0</v>
      </c>
      <c r="AX106" s="14" t="s">
        <v>257</v>
      </c>
      <c r="AY106" s="14" t="s">
        <v>257</v>
      </c>
      <c r="AZ106" s="14" t="s">
        <v>258</v>
      </c>
      <c r="BA106" s="14" t="s">
        <v>259</v>
      </c>
      <c r="BB106" s="14" t="s">
        <v>395</v>
      </c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</row>
    <row r="107" customFormat="false" ht="15" hidden="false" customHeight="false" outlineLevel="0" collapsed="false">
      <c r="C107" s="14" t="s">
        <v>263</v>
      </c>
      <c r="D107" s="14" t="s">
        <v>264</v>
      </c>
      <c r="E107" s="14" t="s">
        <v>348</v>
      </c>
      <c r="F107" s="14" t="s">
        <v>335</v>
      </c>
      <c r="G107" s="29" t="n">
        <v>47331</v>
      </c>
      <c r="H107" s="29" t="n">
        <v>47422</v>
      </c>
      <c r="I107" s="14" t="s">
        <v>342</v>
      </c>
      <c r="J107" s="14" t="s">
        <v>288</v>
      </c>
      <c r="K107" s="14" t="n">
        <v>92</v>
      </c>
      <c r="L107" s="16" t="n">
        <v>489.797017236892</v>
      </c>
      <c r="M107" s="30" t="n">
        <v>27.9159174302794</v>
      </c>
      <c r="N107" s="16" t="n">
        <v>63.7314936618185</v>
      </c>
      <c r="O107" s="16" t="n">
        <v>-27.5716536942991</v>
      </c>
      <c r="P107" s="16" t="n">
        <v>-9.03995999187983</v>
      </c>
      <c r="Q107" s="16" t="n">
        <v>0.00180593326573163</v>
      </c>
      <c r="R107" s="16" t="n">
        <v>-17.1428956032912</v>
      </c>
      <c r="S107" s="16" t="n">
        <v>0</v>
      </c>
      <c r="T107" s="16" t="n">
        <v>37.5504439999131</v>
      </c>
      <c r="U107" s="16" t="n">
        <v>25</v>
      </c>
      <c r="V107" s="16" t="n">
        <v>25</v>
      </c>
      <c r="W107" s="16" t="n">
        <v>468.3125</v>
      </c>
      <c r="X107" s="16" t="n">
        <v>11.90625</v>
      </c>
      <c r="Y107" s="16" t="n">
        <v>11.90625</v>
      </c>
      <c r="Z107" s="16" t="n">
        <v>0</v>
      </c>
      <c r="AA107" s="16" t="n">
        <v>0</v>
      </c>
      <c r="AB107" s="16" t="n">
        <v>0</v>
      </c>
      <c r="AC107" s="16" t="n">
        <v>456.40625</v>
      </c>
      <c r="AD107" s="16" t="n">
        <v>38.1356269662739</v>
      </c>
      <c r="AE107" s="16" t="n">
        <v>4.22427953353102</v>
      </c>
      <c r="AF107" s="16" t="n">
        <v>15.2383380491347</v>
      </c>
      <c r="AG107" s="16" t="n">
        <v>27.1215684506703</v>
      </c>
      <c r="AH107" s="16" t="n">
        <v>8.1306354843095</v>
      </c>
      <c r="AI107" s="16" t="n">
        <v>8.1306354843095</v>
      </c>
      <c r="AJ107" s="16" t="n">
        <v>1.6245</v>
      </c>
      <c r="AK107" s="16" t="n">
        <v>3.625</v>
      </c>
      <c r="AL107" s="16" t="n">
        <v>1.25</v>
      </c>
      <c r="AM107" s="16" t="n">
        <v>0</v>
      </c>
      <c r="AN107" s="16" t="n">
        <v>546.14681845067</v>
      </c>
      <c r="AO107" s="16" t="n">
        <v>263.262684583089</v>
      </c>
      <c r="AP107" s="16" t="n">
        <v>30.5373154169113</v>
      </c>
      <c r="AQ107" s="14" t="n">
        <v>266.67843154933</v>
      </c>
      <c r="AR107" s="14" t="s">
        <v>372</v>
      </c>
      <c r="AS107" s="29"/>
      <c r="AT107" s="14" t="n">
        <v>222.256990630761</v>
      </c>
      <c r="AU107" s="17" t="n">
        <v>2.45727622290177</v>
      </c>
      <c r="AV107" s="17" t="n">
        <v>6.43256517302793</v>
      </c>
      <c r="AW107" s="16" t="n">
        <v>0</v>
      </c>
      <c r="AX107" s="14" t="s">
        <v>257</v>
      </c>
      <c r="AY107" s="14" t="s">
        <v>257</v>
      </c>
      <c r="AZ107" s="14" t="s">
        <v>258</v>
      </c>
      <c r="BA107" s="14" t="s">
        <v>259</v>
      </c>
      <c r="BB107" s="14" t="s">
        <v>396</v>
      </c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</row>
    <row r="108" customFormat="false" ht="15" hidden="false" customHeight="false" outlineLevel="0" collapsed="false">
      <c r="C108" s="14" t="s">
        <v>263</v>
      </c>
      <c r="D108" s="14" t="s">
        <v>264</v>
      </c>
      <c r="E108" s="14" t="s">
        <v>350</v>
      </c>
      <c r="F108" s="14" t="s">
        <v>335</v>
      </c>
      <c r="G108" s="29" t="n">
        <v>47423</v>
      </c>
      <c r="H108" s="29" t="n">
        <v>47514</v>
      </c>
      <c r="I108" s="14" t="s">
        <v>351</v>
      </c>
      <c r="J108" s="14" t="s">
        <v>303</v>
      </c>
      <c r="K108" s="14" t="n">
        <v>92</v>
      </c>
      <c r="L108" s="16" t="n">
        <v>399.993997000213</v>
      </c>
      <c r="M108" s="30" t="n">
        <v>22.9096754759419</v>
      </c>
      <c r="N108" s="16" t="n">
        <v>32.0218213290888</v>
      </c>
      <c r="O108" s="16" t="n">
        <v>-22.516462079136</v>
      </c>
      <c r="P108" s="16" t="n">
        <v>-2.37633981248821</v>
      </c>
      <c r="Q108" s="16" t="n">
        <v>0.00152514537589204</v>
      </c>
      <c r="R108" s="16" t="n">
        <v>-13.9997898950074</v>
      </c>
      <c r="S108" s="16" t="n">
        <v>0</v>
      </c>
      <c r="T108" s="16" t="n">
        <v>15.6472167669691</v>
      </c>
      <c r="U108" s="16" t="n">
        <v>25</v>
      </c>
      <c r="V108" s="16" t="n">
        <v>25</v>
      </c>
      <c r="W108" s="16" t="n">
        <v>456.40625</v>
      </c>
      <c r="X108" s="16" t="n">
        <v>11.90625</v>
      </c>
      <c r="Y108" s="16" t="n">
        <v>11.90625</v>
      </c>
      <c r="Z108" s="16" t="n">
        <v>0</v>
      </c>
      <c r="AA108" s="16" t="n">
        <v>0</v>
      </c>
      <c r="AB108" s="16" t="n">
        <v>0</v>
      </c>
      <c r="AC108" s="16" t="n">
        <v>444.5</v>
      </c>
      <c r="AD108" s="16" t="n">
        <v>27.1215684506703</v>
      </c>
      <c r="AE108" s="16" t="n">
        <v>11.4690474784062</v>
      </c>
      <c r="AF108" s="16" t="n">
        <v>0.867256630188129</v>
      </c>
      <c r="AG108" s="16" t="n">
        <v>37.7233592988883</v>
      </c>
      <c r="AH108" s="16" t="n">
        <v>7.93125761518709</v>
      </c>
      <c r="AI108" s="16" t="n">
        <v>7.93125761518709</v>
      </c>
      <c r="AJ108" s="16" t="n">
        <v>1.5365</v>
      </c>
      <c r="AK108" s="16" t="n">
        <v>3.625</v>
      </c>
      <c r="AL108" s="16" t="n">
        <v>1.25</v>
      </c>
      <c r="AM108" s="16" t="n">
        <v>0</v>
      </c>
      <c r="AN108" s="16" t="n">
        <v>544.842359298888</v>
      </c>
      <c r="AO108" s="16" t="n">
        <v>256.076640701112</v>
      </c>
      <c r="AP108" s="16" t="n">
        <v>37.7233592988883</v>
      </c>
      <c r="AQ108" s="14" t="n">
        <v>256.076640701112</v>
      </c>
      <c r="AR108" s="14" t="s">
        <v>372</v>
      </c>
      <c r="AS108" s="29"/>
      <c r="AT108" s="14" t="n">
        <v>222.256190065214</v>
      </c>
      <c r="AU108" s="17" t="n">
        <v>2.45141590494745</v>
      </c>
      <c r="AV108" s="17" t="n">
        <v>6.64840360497354</v>
      </c>
      <c r="AW108" s="16" t="n">
        <v>0</v>
      </c>
      <c r="AX108" s="14" t="s">
        <v>257</v>
      </c>
      <c r="AY108" s="14" t="s">
        <v>257</v>
      </c>
      <c r="AZ108" s="14" t="s">
        <v>258</v>
      </c>
      <c r="BA108" s="14" t="s">
        <v>259</v>
      </c>
      <c r="BB108" s="14" t="s">
        <v>397</v>
      </c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</row>
    <row r="109" customFormat="false" ht="15" hidden="false" customHeight="false" outlineLevel="0" collapsed="false">
      <c r="C109" s="14" t="s">
        <v>263</v>
      </c>
      <c r="D109" s="14" t="s">
        <v>264</v>
      </c>
      <c r="E109" s="14" t="s">
        <v>353</v>
      </c>
      <c r="F109" s="14" t="s">
        <v>335</v>
      </c>
      <c r="G109" s="29" t="n">
        <v>47515</v>
      </c>
      <c r="H109" s="29" t="n">
        <v>47603</v>
      </c>
      <c r="I109" s="14" t="s">
        <v>351</v>
      </c>
      <c r="J109" s="14" t="s">
        <v>255</v>
      </c>
      <c r="K109" s="14" t="n">
        <v>89</v>
      </c>
      <c r="L109" s="16" t="n">
        <v>452.421443077917</v>
      </c>
      <c r="M109" s="30" t="n">
        <v>28.8693217195837</v>
      </c>
      <c r="N109" s="16" t="n">
        <v>63.1816576327714</v>
      </c>
      <c r="O109" s="16" t="n">
        <v>-25.4677078737421</v>
      </c>
      <c r="P109" s="16" t="n">
        <v>-9.42848743975732</v>
      </c>
      <c r="Q109" s="16" t="n">
        <v>0.00165728527647751</v>
      </c>
      <c r="R109" s="16" t="n">
        <v>-15.8347505077271</v>
      </c>
      <c r="S109" s="16" t="n">
        <v>0</v>
      </c>
      <c r="T109" s="16" t="n">
        <v>37.9200769705635</v>
      </c>
      <c r="U109" s="16" t="n">
        <v>25</v>
      </c>
      <c r="V109" s="16" t="n">
        <v>25</v>
      </c>
      <c r="W109" s="16" t="n">
        <v>444.5</v>
      </c>
      <c r="X109" s="16" t="n">
        <v>11.90625</v>
      </c>
      <c r="Y109" s="16" t="n">
        <v>11.90625</v>
      </c>
      <c r="Z109" s="16" t="n">
        <v>0</v>
      </c>
      <c r="AA109" s="16" t="n">
        <v>0</v>
      </c>
      <c r="AB109" s="16" t="n">
        <v>0</v>
      </c>
      <c r="AC109" s="16" t="n">
        <v>432.59375</v>
      </c>
      <c r="AD109" s="16" t="n">
        <v>37.7233592988883</v>
      </c>
      <c r="AE109" s="16" t="n">
        <v>3.93517334631571</v>
      </c>
      <c r="AF109" s="16" t="n">
        <v>15.8118234370457</v>
      </c>
      <c r="AG109" s="16" t="n">
        <v>25.8467092081583</v>
      </c>
      <c r="AH109" s="16" t="n">
        <v>7.72567687983343</v>
      </c>
      <c r="AI109" s="16" t="n">
        <v>7.72567687983343</v>
      </c>
      <c r="AJ109" s="16" t="n">
        <v>1.5365</v>
      </c>
      <c r="AK109" s="16" t="n">
        <v>3.625</v>
      </c>
      <c r="AL109" s="16" t="n">
        <v>1.25</v>
      </c>
      <c r="AM109" s="16" t="n">
        <v>0</v>
      </c>
      <c r="AN109" s="16" t="n">
        <v>521.059459208158</v>
      </c>
      <c r="AO109" s="16" t="n">
        <v>263.960909986305</v>
      </c>
      <c r="AP109" s="16" t="n">
        <v>29.8390900136949</v>
      </c>
      <c r="AQ109" s="14" t="n">
        <v>267.953290791842</v>
      </c>
      <c r="AR109" s="14" t="s">
        <v>372</v>
      </c>
      <c r="AS109" s="29"/>
      <c r="AT109" s="14" t="n">
        <v>222.254610484284</v>
      </c>
      <c r="AU109" s="17" t="n">
        <v>2.3444258729787</v>
      </c>
      <c r="AV109" s="17" t="n">
        <v>6.88347340638386</v>
      </c>
      <c r="AW109" s="16" t="n">
        <v>0</v>
      </c>
      <c r="AX109" s="14" t="s">
        <v>257</v>
      </c>
      <c r="AY109" s="14" t="s">
        <v>257</v>
      </c>
      <c r="AZ109" s="14" t="s">
        <v>258</v>
      </c>
      <c r="BA109" s="14" t="s">
        <v>259</v>
      </c>
      <c r="BB109" s="14" t="s">
        <v>398</v>
      </c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</row>
    <row r="110" customFormat="false" ht="15" hidden="false" customHeight="false" outlineLevel="0" collapsed="false">
      <c r="C110" s="14" t="s">
        <v>263</v>
      </c>
      <c r="D110" s="14" t="s">
        <v>264</v>
      </c>
      <c r="E110" s="14" t="s">
        <v>355</v>
      </c>
      <c r="F110" s="14" t="s">
        <v>335</v>
      </c>
      <c r="G110" s="29" t="n">
        <v>47604</v>
      </c>
      <c r="H110" s="29" t="n">
        <v>47695</v>
      </c>
      <c r="I110" s="14" t="s">
        <v>351</v>
      </c>
      <c r="J110" s="14" t="s">
        <v>271</v>
      </c>
      <c r="K110" s="14" t="n">
        <v>92</v>
      </c>
      <c r="L110" s="16" t="n">
        <v>495.211093970379</v>
      </c>
      <c r="M110" s="30" t="n">
        <v>27.6901735836919</v>
      </c>
      <c r="N110" s="16" t="n">
        <v>63.3180548696584</v>
      </c>
      <c r="O110" s="16" t="n">
        <v>-27.8764229017806</v>
      </c>
      <c r="P110" s="16" t="n">
        <v>-8.86040799196946</v>
      </c>
      <c r="Q110" s="16" t="n">
        <v>0.00182870502781671</v>
      </c>
      <c r="R110" s="16" t="n">
        <v>-17.3323882889633</v>
      </c>
      <c r="S110" s="16" t="n">
        <v>0</v>
      </c>
      <c r="T110" s="16" t="n">
        <v>37.1270872937535</v>
      </c>
      <c r="U110" s="16" t="n">
        <v>25</v>
      </c>
      <c r="V110" s="16" t="n">
        <v>25</v>
      </c>
      <c r="W110" s="16" t="n">
        <v>432.59375</v>
      </c>
      <c r="X110" s="16" t="n">
        <v>11.90625</v>
      </c>
      <c r="Y110" s="16" t="n">
        <v>11.90625</v>
      </c>
      <c r="Z110" s="16" t="n">
        <v>0</v>
      </c>
      <c r="AA110" s="16" t="n">
        <v>0</v>
      </c>
      <c r="AB110" s="16" t="n">
        <v>0</v>
      </c>
      <c r="AC110" s="16" t="n">
        <v>420.6875</v>
      </c>
      <c r="AD110" s="16" t="n">
        <v>25.8467092081583</v>
      </c>
      <c r="AE110" s="16" t="n">
        <v>4.07114074277814</v>
      </c>
      <c r="AF110" s="16" t="n">
        <v>15.5421117582519</v>
      </c>
      <c r="AG110" s="16" t="n">
        <v>14.3757381926845</v>
      </c>
      <c r="AH110" s="16" t="n">
        <v>7.3383662782797</v>
      </c>
      <c r="AI110" s="16" t="n">
        <v>7.3383662782797</v>
      </c>
      <c r="AJ110" s="16" t="n">
        <v>1.5365</v>
      </c>
      <c r="AK110" s="16" t="n">
        <v>3.625</v>
      </c>
      <c r="AL110" s="16" t="n">
        <v>1.25</v>
      </c>
      <c r="AM110" s="16" t="n">
        <v>0</v>
      </c>
      <c r="AN110" s="16" t="n">
        <v>497.682238192685</v>
      </c>
      <c r="AO110" s="16" t="n">
        <v>275.703073405499</v>
      </c>
      <c r="AP110" s="16" t="n">
        <v>18.0969265945014</v>
      </c>
      <c r="AQ110" s="14" t="n">
        <v>279.424261807316</v>
      </c>
      <c r="AR110" s="14" t="s">
        <v>372</v>
      </c>
      <c r="AS110" s="29"/>
      <c r="AT110" s="14" t="n">
        <v>222.253027493337</v>
      </c>
      <c r="AU110" s="17" t="n">
        <v>2.23925965736329</v>
      </c>
      <c r="AV110" s="17" t="n">
        <v>7.14044472924088</v>
      </c>
      <c r="AW110" s="16" t="n">
        <v>0</v>
      </c>
      <c r="AX110" s="14" t="s">
        <v>257</v>
      </c>
      <c r="AY110" s="14" t="s">
        <v>257</v>
      </c>
      <c r="AZ110" s="14" t="s">
        <v>258</v>
      </c>
      <c r="BA110" s="14" t="s">
        <v>259</v>
      </c>
      <c r="BB110" s="14" t="s">
        <v>399</v>
      </c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</row>
    <row r="111" customFormat="false" ht="15" hidden="false" customHeight="false" outlineLevel="0" collapsed="false">
      <c r="C111" s="14" t="s">
        <v>263</v>
      </c>
      <c r="D111" s="14" t="s">
        <v>264</v>
      </c>
      <c r="E111" s="14" t="s">
        <v>357</v>
      </c>
      <c r="F111" s="14" t="s">
        <v>335</v>
      </c>
      <c r="G111" s="29" t="n">
        <v>47696</v>
      </c>
      <c r="H111" s="29" t="n">
        <v>47787</v>
      </c>
      <c r="I111" s="14" t="s">
        <v>351</v>
      </c>
      <c r="J111" s="14" t="s">
        <v>288</v>
      </c>
      <c r="K111" s="14" t="n">
        <v>92</v>
      </c>
      <c r="L111" s="16" t="n">
        <v>489.784772311461</v>
      </c>
      <c r="M111" s="30" t="n">
        <v>27.9159174302794</v>
      </c>
      <c r="N111" s="16" t="n">
        <v>63.7299003744769</v>
      </c>
      <c r="O111" s="16" t="n">
        <v>-27.5709644029568</v>
      </c>
      <c r="P111" s="16" t="n">
        <v>-9.03973399288004</v>
      </c>
      <c r="Q111" s="16" t="n">
        <v>0.00180588811739999</v>
      </c>
      <c r="R111" s="16" t="n">
        <v>-17.1424670309011</v>
      </c>
      <c r="S111" s="16" t="n">
        <v>0</v>
      </c>
      <c r="T111" s="16" t="n">
        <v>37.5495052388131</v>
      </c>
      <c r="U111" s="16" t="n">
        <v>25</v>
      </c>
      <c r="V111" s="16" t="n">
        <v>25</v>
      </c>
      <c r="W111" s="16" t="n">
        <v>420.6875</v>
      </c>
      <c r="X111" s="16" t="n">
        <v>11.90625</v>
      </c>
      <c r="Y111" s="16" t="n">
        <v>11.90625</v>
      </c>
      <c r="Z111" s="16" t="n">
        <v>0</v>
      </c>
      <c r="AA111" s="16" t="n">
        <v>0</v>
      </c>
      <c r="AB111" s="16" t="n">
        <v>0</v>
      </c>
      <c r="AC111" s="16" t="n">
        <v>408.78125</v>
      </c>
      <c r="AD111" s="16" t="n">
        <v>14.3757381926845</v>
      </c>
      <c r="AE111" s="16" t="n">
        <v>2.1010885025835</v>
      </c>
      <c r="AF111" s="16" t="n">
        <v>14.3757381926845</v>
      </c>
      <c r="AG111" s="16" t="n">
        <v>2.1010885025835</v>
      </c>
      <c r="AH111" s="16" t="n">
        <v>6.95710554871215</v>
      </c>
      <c r="AI111" s="16" t="n">
        <v>6.95710554871215</v>
      </c>
      <c r="AJ111" s="16" t="n">
        <v>1.5365</v>
      </c>
      <c r="AK111" s="16" t="n">
        <v>3.625</v>
      </c>
      <c r="AL111" s="16" t="n">
        <v>1.25</v>
      </c>
      <c r="AM111" s="16" t="n">
        <v>0</v>
      </c>
      <c r="AN111" s="16" t="n">
        <v>473.501338502584</v>
      </c>
      <c r="AO111" s="16" t="n">
        <v>287.443578537362</v>
      </c>
      <c r="AP111" s="16" t="n">
        <v>6.35642146263778</v>
      </c>
      <c r="AQ111" s="14" t="n">
        <v>291.698911497417</v>
      </c>
      <c r="AR111" s="14" t="s">
        <v>372</v>
      </c>
      <c r="AS111" s="29"/>
      <c r="AT111" s="14" t="n">
        <v>222.251434205996</v>
      </c>
      <c r="AU111" s="17" t="n">
        <v>2.13047596382984</v>
      </c>
      <c r="AV111" s="17" t="n">
        <v>7.42015288576866</v>
      </c>
      <c r="AW111" s="16" t="n">
        <v>0</v>
      </c>
      <c r="AX111" s="14" t="s">
        <v>257</v>
      </c>
      <c r="AY111" s="14" t="s">
        <v>257</v>
      </c>
      <c r="AZ111" s="14" t="s">
        <v>258</v>
      </c>
      <c r="BA111" s="14" t="s">
        <v>259</v>
      </c>
      <c r="BB111" s="14" t="s">
        <v>400</v>
      </c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</row>
    <row r="112" customFormat="false" ht="15" hidden="false" customHeight="false" outlineLevel="0" collapsed="false">
      <c r="C112" s="14" t="s">
        <v>263</v>
      </c>
      <c r="D112" s="14" t="s">
        <v>264</v>
      </c>
      <c r="E112" s="14" t="s">
        <v>359</v>
      </c>
      <c r="F112" s="14" t="s">
        <v>335</v>
      </c>
      <c r="G112" s="29" t="n">
        <v>47788</v>
      </c>
      <c r="H112" s="29" t="n">
        <v>47879</v>
      </c>
      <c r="I112" s="14" t="s">
        <v>360</v>
      </c>
      <c r="J112" s="14" t="s">
        <v>303</v>
      </c>
      <c r="K112" s="14" t="n">
        <v>92</v>
      </c>
      <c r="L112" s="16" t="n">
        <v>399.983997150288</v>
      </c>
      <c r="M112" s="30" t="n">
        <v>22.9096754759419</v>
      </c>
      <c r="N112" s="16" t="n">
        <v>32.0210207835556</v>
      </c>
      <c r="O112" s="16" t="n">
        <v>-22.515899167584</v>
      </c>
      <c r="P112" s="16" t="n">
        <v>-2.3762804039929</v>
      </c>
      <c r="Q112" s="16" t="n">
        <v>0.00152510724725765</v>
      </c>
      <c r="R112" s="16" t="n">
        <v>-13.9994399002601</v>
      </c>
      <c r="S112" s="16" t="n">
        <v>0</v>
      </c>
      <c r="T112" s="16" t="n">
        <v>15.6468255865499</v>
      </c>
      <c r="U112" s="16" t="n">
        <v>25</v>
      </c>
      <c r="V112" s="16" t="n">
        <v>25</v>
      </c>
      <c r="W112" s="16" t="n">
        <v>408.78125</v>
      </c>
      <c r="X112" s="16" t="n">
        <v>11.90625</v>
      </c>
      <c r="Y112" s="16" t="n">
        <v>11.90625</v>
      </c>
      <c r="Z112" s="16" t="n">
        <v>0</v>
      </c>
      <c r="AA112" s="16" t="n">
        <v>408.375215681358</v>
      </c>
      <c r="AB112" s="16" t="n">
        <v>0</v>
      </c>
      <c r="AC112" s="16" t="n">
        <v>396.875</v>
      </c>
      <c r="AD112" s="16" t="n">
        <v>2.1010885025835</v>
      </c>
      <c r="AE112" s="16" t="n">
        <v>11.0659627300719</v>
      </c>
      <c r="AF112" s="16" t="n">
        <v>1.66683555129704</v>
      </c>
      <c r="AG112" s="16" t="n">
        <v>11.5002156813583</v>
      </c>
      <c r="AH112" s="16" t="n">
        <v>6.72820276532472</v>
      </c>
      <c r="AI112" s="16" t="n">
        <v>6.72820276532472</v>
      </c>
      <c r="AJ112" s="16" t="n">
        <v>1.5365</v>
      </c>
      <c r="AK112" s="16" t="n">
        <v>3.625</v>
      </c>
      <c r="AL112" s="16" t="n">
        <v>1.25</v>
      </c>
      <c r="AM112" s="16" t="n">
        <v>0</v>
      </c>
      <c r="AN112" s="16" t="n">
        <v>470.994215681358</v>
      </c>
      <c r="AO112" s="16" t="n">
        <v>0</v>
      </c>
      <c r="AP112" s="16" t="n">
        <v>11.5002156813583</v>
      </c>
      <c r="AQ112" s="14" t="n">
        <v>0</v>
      </c>
      <c r="AR112" s="14" t="s">
        <v>372</v>
      </c>
      <c r="AS112" s="29"/>
      <c r="AT112" s="14" t="n">
        <v>222.250633660462</v>
      </c>
      <c r="AU112" s="17" t="n">
        <v>2.11920302733943</v>
      </c>
      <c r="AV112" s="17" t="n">
        <v>7.7306312066121</v>
      </c>
      <c r="AW112" s="16" t="n">
        <v>408.375215681358</v>
      </c>
      <c r="AX112" s="14" t="s">
        <v>361</v>
      </c>
      <c r="AY112" s="14" t="s">
        <v>257</v>
      </c>
      <c r="AZ112" s="14" t="s">
        <v>362</v>
      </c>
      <c r="BA112" s="14" t="s">
        <v>259</v>
      </c>
      <c r="BB112" s="14" t="s">
        <v>401</v>
      </c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</row>
    <row r="113" customFormat="false" ht="15" hidden="false" customHeight="false" outlineLevel="0" collapsed="false">
      <c r="C113" s="14" t="s">
        <v>268</v>
      </c>
      <c r="D113" s="14" t="s">
        <v>269</v>
      </c>
      <c r="E113" s="14" t="s">
        <v>252</v>
      </c>
      <c r="F113" s="14" t="s">
        <v>253</v>
      </c>
      <c r="G113" s="29" t="n">
        <v>46054</v>
      </c>
      <c r="H113" s="29" t="n">
        <v>46081</v>
      </c>
      <c r="I113" s="14" t="s">
        <v>254</v>
      </c>
      <c r="J113" s="14" t="s">
        <v>255</v>
      </c>
      <c r="K113" s="14" t="n">
        <v>28</v>
      </c>
      <c r="L113" s="16" t="n">
        <v>84.61127066535</v>
      </c>
      <c r="M113" s="30" t="n">
        <v>28.8693217195837</v>
      </c>
      <c r="N113" s="16" t="n">
        <v>10.1239261348662</v>
      </c>
      <c r="O113" s="16" t="n">
        <v>-8.4900849345702</v>
      </c>
      <c r="P113" s="16" t="n">
        <v>-1.34024712164309</v>
      </c>
      <c r="Q113" s="16" t="n">
        <v>-14.6858737706374</v>
      </c>
      <c r="R113" s="16" t="n">
        <v>-2.96139447328725</v>
      </c>
      <c r="S113" s="16" t="n">
        <v>-0.44</v>
      </c>
      <c r="T113" s="16" t="n">
        <v>-9.30358923070151</v>
      </c>
      <c r="U113" s="16" t="n">
        <v>25</v>
      </c>
      <c r="V113" s="16" t="n">
        <v>25</v>
      </c>
      <c r="W113" s="16" t="n">
        <v>635</v>
      </c>
      <c r="X113" s="16" t="n">
        <v>0</v>
      </c>
      <c r="Y113" s="16" t="n">
        <v>0</v>
      </c>
      <c r="Z113" s="16" t="n">
        <v>0</v>
      </c>
      <c r="AA113" s="16" t="n">
        <v>0</v>
      </c>
      <c r="AB113" s="16" t="n">
        <v>0</v>
      </c>
      <c r="AC113" s="16" t="n">
        <v>635</v>
      </c>
      <c r="AD113" s="16" t="n">
        <v>29.89771875</v>
      </c>
      <c r="AE113" s="16" t="n">
        <v>15.8689556708278</v>
      </c>
      <c r="AF113" s="16" t="n">
        <v>0</v>
      </c>
      <c r="AG113" s="16" t="n">
        <v>45.7666744208278</v>
      </c>
      <c r="AH113" s="16" t="n">
        <v>4.24444977345964</v>
      </c>
      <c r="AI113" s="16" t="n">
        <v>4.24444977345964</v>
      </c>
      <c r="AJ113" s="16" t="n">
        <v>0.695916666666667</v>
      </c>
      <c r="AK113" s="16" t="n">
        <v>1.20833333333333</v>
      </c>
      <c r="AL113" s="16" t="n">
        <v>0.416666666666667</v>
      </c>
      <c r="AM113" s="16" t="n">
        <v>0</v>
      </c>
      <c r="AN113" s="16" t="n">
        <v>743.385674420828</v>
      </c>
      <c r="AO113" s="16" t="n">
        <v>248.033325579172</v>
      </c>
      <c r="AP113" s="16" t="n">
        <v>45.7666744208278</v>
      </c>
      <c r="AQ113" s="14" t="n">
        <v>248.033325579172</v>
      </c>
      <c r="AR113" s="14" t="s">
        <v>256</v>
      </c>
      <c r="AS113" s="29"/>
      <c r="AT113" s="14"/>
      <c r="AU113" s="17"/>
      <c r="AV113" s="17"/>
      <c r="AW113" s="16" t="n">
        <v>0</v>
      </c>
      <c r="AX113" s="14" t="s">
        <v>257</v>
      </c>
      <c r="AY113" s="14" t="s">
        <v>257</v>
      </c>
      <c r="AZ113" s="14" t="s">
        <v>258</v>
      </c>
      <c r="BA113" s="14" t="s">
        <v>259</v>
      </c>
      <c r="BB113" s="14" t="s">
        <v>402</v>
      </c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</row>
    <row r="114" customFormat="false" ht="15" hidden="false" customHeight="false" outlineLevel="0" collapsed="false">
      <c r="C114" s="14" t="s">
        <v>268</v>
      </c>
      <c r="D114" s="14" t="s">
        <v>269</v>
      </c>
      <c r="E114" s="14" t="s">
        <v>261</v>
      </c>
      <c r="F114" s="14" t="s">
        <v>253</v>
      </c>
      <c r="G114" s="29" t="n">
        <v>46082</v>
      </c>
      <c r="H114" s="29" t="n">
        <v>46112</v>
      </c>
      <c r="I114" s="14" t="s">
        <v>254</v>
      </c>
      <c r="J114" s="14" t="s">
        <v>255</v>
      </c>
      <c r="K114" s="14" t="n">
        <v>31</v>
      </c>
      <c r="L114" s="16" t="n">
        <v>126.916905998025</v>
      </c>
      <c r="M114" s="30" t="n">
        <v>28.8693217195837</v>
      </c>
      <c r="N114" s="16" t="n">
        <v>15.1858892022994</v>
      </c>
      <c r="O114" s="16" t="n">
        <v>-8.4900849345702</v>
      </c>
      <c r="P114" s="16" t="n">
        <v>-2.01037068246463</v>
      </c>
      <c r="Q114" s="16" t="n">
        <v>-22.0288106559561</v>
      </c>
      <c r="R114" s="16" t="n">
        <v>-4.44209170993088</v>
      </c>
      <c r="S114" s="16" t="n">
        <v>-0.66</v>
      </c>
      <c r="T114" s="16" t="n">
        <v>-13.9553838460523</v>
      </c>
      <c r="U114" s="16" t="n">
        <v>25</v>
      </c>
      <c r="V114" s="16" t="n">
        <v>25</v>
      </c>
      <c r="W114" s="16" t="n">
        <v>635</v>
      </c>
      <c r="X114" s="16" t="n">
        <v>0</v>
      </c>
      <c r="Y114" s="16" t="n">
        <v>0</v>
      </c>
      <c r="Z114" s="16" t="n">
        <v>0</v>
      </c>
      <c r="AA114" s="16" t="n">
        <v>0</v>
      </c>
      <c r="AB114" s="16" t="n">
        <v>0</v>
      </c>
      <c r="AC114" s="16" t="n">
        <v>635</v>
      </c>
      <c r="AD114" s="16" t="n">
        <v>45.7666744208278</v>
      </c>
      <c r="AE114" s="16" t="n">
        <v>20.6358926619616</v>
      </c>
      <c r="AF114" s="16" t="n">
        <v>0</v>
      </c>
      <c r="AG114" s="16" t="n">
        <v>66.4025670827894</v>
      </c>
      <c r="AH114" s="16" t="n">
        <v>4.35959214924264</v>
      </c>
      <c r="AI114" s="16" t="n">
        <v>4.35959214924264</v>
      </c>
      <c r="AJ114" s="16" t="n">
        <v>0.695916666666667</v>
      </c>
      <c r="AK114" s="16" t="n">
        <v>1.20833333333333</v>
      </c>
      <c r="AL114" s="16" t="n">
        <v>0.416666666666667</v>
      </c>
      <c r="AM114" s="16" t="n">
        <v>0</v>
      </c>
      <c r="AN114" s="16" t="n">
        <v>764.021567082789</v>
      </c>
      <c r="AO114" s="16" t="n">
        <v>227.397432917211</v>
      </c>
      <c r="AP114" s="16" t="n">
        <v>66.4025670827894</v>
      </c>
      <c r="AQ114" s="14" t="n">
        <v>227.397432917211</v>
      </c>
      <c r="AR114" s="14" t="s">
        <v>256</v>
      </c>
      <c r="AS114" s="29"/>
      <c r="AT114" s="14"/>
      <c r="AU114" s="17"/>
      <c r="AV114" s="17"/>
      <c r="AW114" s="16" t="n">
        <v>0</v>
      </c>
      <c r="AX114" s="14" t="s">
        <v>257</v>
      </c>
      <c r="AY114" s="14" t="s">
        <v>257</v>
      </c>
      <c r="AZ114" s="14" t="s">
        <v>258</v>
      </c>
      <c r="BA114" s="14" t="s">
        <v>259</v>
      </c>
      <c r="BB114" s="14" t="s">
        <v>403</v>
      </c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</row>
    <row r="115" customFormat="false" ht="15" hidden="false" customHeight="false" outlineLevel="0" collapsed="false">
      <c r="C115" s="14" t="s">
        <v>268</v>
      </c>
      <c r="D115" s="14" t="s">
        <v>269</v>
      </c>
      <c r="E115" s="14" t="s">
        <v>266</v>
      </c>
      <c r="F115" s="14" t="s">
        <v>253</v>
      </c>
      <c r="G115" s="29" t="n">
        <v>46113</v>
      </c>
      <c r="H115" s="29" t="n">
        <v>46142</v>
      </c>
      <c r="I115" s="14" t="s">
        <v>254</v>
      </c>
      <c r="J115" s="14" t="s">
        <v>255</v>
      </c>
      <c r="K115" s="14" t="n">
        <v>30</v>
      </c>
      <c r="L115" s="16" t="n">
        <v>211.528176663375</v>
      </c>
      <c r="M115" s="30" t="n">
        <v>28.8693217195837</v>
      </c>
      <c r="N115" s="16" t="n">
        <v>25.3098153371656</v>
      </c>
      <c r="O115" s="16" t="n">
        <v>-8.4900849345702</v>
      </c>
      <c r="P115" s="16" t="n">
        <v>-3.35061780410772</v>
      </c>
      <c r="Q115" s="16" t="n">
        <v>-36.7146844265935</v>
      </c>
      <c r="R115" s="16" t="n">
        <v>-7.40348618321813</v>
      </c>
      <c r="S115" s="16" t="n">
        <v>-1.1</v>
      </c>
      <c r="T115" s="16" t="n">
        <v>-23.2589730767538</v>
      </c>
      <c r="U115" s="16" t="n">
        <v>25</v>
      </c>
      <c r="V115" s="16" t="n">
        <v>25</v>
      </c>
      <c r="W115" s="16" t="n">
        <v>635</v>
      </c>
      <c r="X115" s="16" t="n">
        <v>11.90625</v>
      </c>
      <c r="Y115" s="16" t="n">
        <v>11.90625</v>
      </c>
      <c r="Z115" s="16" t="n">
        <v>0</v>
      </c>
      <c r="AA115" s="16" t="n">
        <v>0</v>
      </c>
      <c r="AB115" s="16" t="n">
        <v>0</v>
      </c>
      <c r="AC115" s="16" t="n">
        <v>623.09375</v>
      </c>
      <c r="AD115" s="16" t="n">
        <v>66.4025670827894</v>
      </c>
      <c r="AE115" s="16" t="n">
        <v>42.0057598079536</v>
      </c>
      <c r="AF115" s="16" t="n">
        <v>0</v>
      </c>
      <c r="AG115" s="16" t="n">
        <v>108.408326890743</v>
      </c>
      <c r="AH115" s="16" t="n">
        <v>4.51962006453314</v>
      </c>
      <c r="AI115" s="16" t="n">
        <v>4.51962006453314</v>
      </c>
      <c r="AJ115" s="16" t="n">
        <v>0.695916666666667</v>
      </c>
      <c r="AK115" s="16" t="n">
        <v>1.20833333333333</v>
      </c>
      <c r="AL115" s="16" t="n">
        <v>0.416666666666667</v>
      </c>
      <c r="AM115" s="16" t="n">
        <v>0</v>
      </c>
      <c r="AN115" s="16" t="n">
        <v>794.121076890743</v>
      </c>
      <c r="AO115" s="16" t="n">
        <v>185.391673109257</v>
      </c>
      <c r="AP115" s="16" t="n">
        <v>108.408326890743</v>
      </c>
      <c r="AQ115" s="14" t="n">
        <v>185.391673109257</v>
      </c>
      <c r="AR115" s="14" t="s">
        <v>256</v>
      </c>
      <c r="AS115" s="29"/>
      <c r="AT115" s="14"/>
      <c r="AU115" s="17"/>
      <c r="AV115" s="17"/>
      <c r="AW115" s="16" t="n">
        <v>0</v>
      </c>
      <c r="AX115" s="14" t="s">
        <v>257</v>
      </c>
      <c r="AY115" s="14" t="s">
        <v>257</v>
      </c>
      <c r="AZ115" s="14" t="s">
        <v>258</v>
      </c>
      <c r="BA115" s="14" t="s">
        <v>259</v>
      </c>
      <c r="BB115" s="14" t="s">
        <v>404</v>
      </c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</row>
    <row r="116" customFormat="false" ht="15" hidden="false" customHeight="false" outlineLevel="0" collapsed="false">
      <c r="C116" s="14" t="s">
        <v>268</v>
      </c>
      <c r="D116" s="14" t="s">
        <v>269</v>
      </c>
      <c r="E116" s="14" t="s">
        <v>270</v>
      </c>
      <c r="F116" s="14" t="s">
        <v>253</v>
      </c>
      <c r="G116" s="29" t="n">
        <v>46143</v>
      </c>
      <c r="H116" s="29" t="n">
        <v>46173</v>
      </c>
      <c r="I116" s="14" t="s">
        <v>254</v>
      </c>
      <c r="J116" s="14" t="s">
        <v>271</v>
      </c>
      <c r="K116" s="14" t="n">
        <v>31</v>
      </c>
      <c r="L116" s="16" t="n">
        <v>92.613735598725</v>
      </c>
      <c r="M116" s="30" t="n">
        <v>27.6901735836919</v>
      </c>
      <c r="N116" s="16" t="n">
        <v>9.98938567028436</v>
      </c>
      <c r="O116" s="16" t="n">
        <v>-9.2930702394357</v>
      </c>
      <c r="P116" s="16" t="n">
        <v>-1.19399331649023</v>
      </c>
      <c r="Q116" s="16" t="n">
        <v>0.954518543172876</v>
      </c>
      <c r="R116" s="16" t="n">
        <v>-3.24148074595538</v>
      </c>
      <c r="S116" s="16" t="n">
        <v>-0.3</v>
      </c>
      <c r="T116" s="16" t="n">
        <v>6.20843015101163</v>
      </c>
      <c r="U116" s="16" t="n">
        <v>25</v>
      </c>
      <c r="V116" s="16" t="n">
        <v>25</v>
      </c>
      <c r="W116" s="16" t="n">
        <v>623.09375</v>
      </c>
      <c r="X116" s="16" t="n">
        <v>0</v>
      </c>
      <c r="Y116" s="16" t="n">
        <v>0</v>
      </c>
      <c r="Z116" s="16" t="n">
        <v>0</v>
      </c>
      <c r="AA116" s="16" t="n">
        <v>0</v>
      </c>
      <c r="AB116" s="16" t="n">
        <v>0</v>
      </c>
      <c r="AC116" s="16" t="n">
        <v>623.09375</v>
      </c>
      <c r="AD116" s="16" t="n">
        <v>108.408326890743</v>
      </c>
      <c r="AE116" s="16" t="n">
        <v>0.311360868112215</v>
      </c>
      <c r="AF116" s="16" t="n">
        <v>0</v>
      </c>
      <c r="AG116" s="16" t="n">
        <v>108.719687758855</v>
      </c>
      <c r="AH116" s="16" t="n">
        <v>4.61554101912384</v>
      </c>
      <c r="AI116" s="16" t="n">
        <v>4.61554101912384</v>
      </c>
      <c r="AJ116" s="16" t="n">
        <v>0.695916666666667</v>
      </c>
      <c r="AK116" s="16" t="n">
        <v>1.20833333333333</v>
      </c>
      <c r="AL116" s="16" t="n">
        <v>0</v>
      </c>
      <c r="AM116" s="16" t="n">
        <v>0</v>
      </c>
      <c r="AN116" s="16" t="n">
        <v>794.432437758855</v>
      </c>
      <c r="AO116" s="16" t="n">
        <v>185.080312241145</v>
      </c>
      <c r="AP116" s="16" t="n">
        <v>108.719687758855</v>
      </c>
      <c r="AQ116" s="14" t="n">
        <v>185.080312241145</v>
      </c>
      <c r="AR116" s="14" t="s">
        <v>256</v>
      </c>
      <c r="AS116" s="29"/>
      <c r="AT116" s="14"/>
      <c r="AU116" s="17"/>
      <c r="AV116" s="17"/>
      <c r="AW116" s="16" t="n">
        <v>0</v>
      </c>
      <c r="AX116" s="14" t="s">
        <v>257</v>
      </c>
      <c r="AY116" s="14" t="s">
        <v>257</v>
      </c>
      <c r="AZ116" s="14" t="s">
        <v>258</v>
      </c>
      <c r="BA116" s="14" t="s">
        <v>259</v>
      </c>
      <c r="BB116" s="14" t="s">
        <v>405</v>
      </c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</row>
    <row r="117" customFormat="false" ht="15" hidden="false" customHeight="false" outlineLevel="0" collapsed="false">
      <c r="C117" s="14" t="s">
        <v>268</v>
      </c>
      <c r="D117" s="14" t="s">
        <v>269</v>
      </c>
      <c r="E117" s="14" t="s">
        <v>277</v>
      </c>
      <c r="F117" s="14" t="s">
        <v>253</v>
      </c>
      <c r="G117" s="29" t="n">
        <v>46174</v>
      </c>
      <c r="H117" s="29" t="n">
        <v>46203</v>
      </c>
      <c r="I117" s="14" t="s">
        <v>254</v>
      </c>
      <c r="J117" s="14" t="s">
        <v>271</v>
      </c>
      <c r="K117" s="14" t="n">
        <v>30</v>
      </c>
      <c r="L117" s="16" t="n">
        <v>138.920603398088</v>
      </c>
      <c r="M117" s="30" t="n">
        <v>27.6901735836919</v>
      </c>
      <c r="N117" s="16" t="n">
        <v>14.9840785054265</v>
      </c>
      <c r="O117" s="16" t="n">
        <v>-9.2930702394357</v>
      </c>
      <c r="P117" s="16" t="n">
        <v>-1.79098997473535</v>
      </c>
      <c r="Q117" s="16" t="n">
        <v>1.43177781475931</v>
      </c>
      <c r="R117" s="16" t="n">
        <v>-4.86222111893306</v>
      </c>
      <c r="S117" s="16" t="n">
        <v>-0.45</v>
      </c>
      <c r="T117" s="16" t="n">
        <v>9.31264522651744</v>
      </c>
      <c r="U117" s="16" t="n">
        <v>25</v>
      </c>
      <c r="V117" s="16" t="n">
        <v>25</v>
      </c>
      <c r="W117" s="16" t="n">
        <v>623.09375</v>
      </c>
      <c r="X117" s="16" t="n">
        <v>0</v>
      </c>
      <c r="Y117" s="16" t="n">
        <v>0</v>
      </c>
      <c r="Z117" s="16" t="n">
        <v>0</v>
      </c>
      <c r="AA117" s="16" t="n">
        <v>0</v>
      </c>
      <c r="AB117" s="16" t="n">
        <v>0</v>
      </c>
      <c r="AC117" s="16" t="n">
        <v>623.09375</v>
      </c>
      <c r="AD117" s="16" t="n">
        <v>108.719687758855</v>
      </c>
      <c r="AE117" s="16" t="n">
        <v>0</v>
      </c>
      <c r="AF117" s="16" t="n">
        <v>2.80070601688271</v>
      </c>
      <c r="AG117" s="16" t="n">
        <v>105.918981741972</v>
      </c>
      <c r="AH117" s="16" t="n">
        <v>4.60768920963473</v>
      </c>
      <c r="AI117" s="16" t="n">
        <v>4.60768920963473</v>
      </c>
      <c r="AJ117" s="16" t="n">
        <v>0.695916666666667</v>
      </c>
      <c r="AK117" s="16" t="n">
        <v>1.20833333333333</v>
      </c>
      <c r="AL117" s="16" t="n">
        <v>0</v>
      </c>
      <c r="AM117" s="16" t="n">
        <v>0</v>
      </c>
      <c r="AN117" s="16" t="n">
        <v>791.631731741972</v>
      </c>
      <c r="AO117" s="16" t="n">
        <v>187.881018258028</v>
      </c>
      <c r="AP117" s="16" t="n">
        <v>105.918981741972</v>
      </c>
      <c r="AQ117" s="14" t="n">
        <v>187.881018258028</v>
      </c>
      <c r="AR117" s="14" t="s">
        <v>256</v>
      </c>
      <c r="AS117" s="29"/>
      <c r="AT117" s="14"/>
      <c r="AU117" s="17"/>
      <c r="AV117" s="17"/>
      <c r="AW117" s="16" t="n">
        <v>0</v>
      </c>
      <c r="AX117" s="14" t="s">
        <v>257</v>
      </c>
      <c r="AY117" s="14" t="s">
        <v>257</v>
      </c>
      <c r="AZ117" s="14" t="s">
        <v>258</v>
      </c>
      <c r="BA117" s="14" t="s">
        <v>259</v>
      </c>
      <c r="BB117" s="14" t="s">
        <v>406</v>
      </c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</row>
    <row r="118" customFormat="false" ht="15" hidden="false" customHeight="false" outlineLevel="0" collapsed="false">
      <c r="C118" s="14" t="s">
        <v>268</v>
      </c>
      <c r="D118" s="14" t="s">
        <v>269</v>
      </c>
      <c r="E118" s="14" t="s">
        <v>282</v>
      </c>
      <c r="F118" s="14" t="s">
        <v>253</v>
      </c>
      <c r="G118" s="29" t="n">
        <v>46204</v>
      </c>
      <c r="H118" s="29" t="n">
        <v>46234</v>
      </c>
      <c r="I118" s="14" t="s">
        <v>254</v>
      </c>
      <c r="J118" s="14" t="s">
        <v>271</v>
      </c>
      <c r="K118" s="14" t="n">
        <v>31</v>
      </c>
      <c r="L118" s="16" t="n">
        <v>231.534338996813</v>
      </c>
      <c r="M118" s="30" t="n">
        <v>27.6901735836919</v>
      </c>
      <c r="N118" s="16" t="n">
        <v>24.9734641757109</v>
      </c>
      <c r="O118" s="16" t="n">
        <v>-9.2930702394357</v>
      </c>
      <c r="P118" s="16" t="n">
        <v>-2.98498329122558</v>
      </c>
      <c r="Q118" s="16" t="n">
        <v>2.38629635793219</v>
      </c>
      <c r="R118" s="16" t="n">
        <v>-8.10370186488844</v>
      </c>
      <c r="S118" s="16" t="n">
        <v>-0.75</v>
      </c>
      <c r="T118" s="16" t="n">
        <v>15.5210753775291</v>
      </c>
      <c r="U118" s="16" t="n">
        <v>25</v>
      </c>
      <c r="V118" s="16" t="n">
        <v>25</v>
      </c>
      <c r="W118" s="16" t="n">
        <v>623.09375</v>
      </c>
      <c r="X118" s="16" t="n">
        <v>11.90625</v>
      </c>
      <c r="Y118" s="16" t="n">
        <v>11.90625</v>
      </c>
      <c r="Z118" s="16" t="n">
        <v>0</v>
      </c>
      <c r="AA118" s="16" t="n">
        <v>0</v>
      </c>
      <c r="AB118" s="16" t="n">
        <v>0</v>
      </c>
      <c r="AC118" s="16" t="n">
        <v>611.1875</v>
      </c>
      <c r="AD118" s="16" t="n">
        <v>105.918981741972</v>
      </c>
      <c r="AE118" s="16" t="n">
        <v>2.85974575640732</v>
      </c>
      <c r="AF118" s="16" t="n">
        <v>0</v>
      </c>
      <c r="AG118" s="16" t="n">
        <v>108.77872749838</v>
      </c>
      <c r="AH118" s="16" t="n">
        <v>4.57032113393639</v>
      </c>
      <c r="AI118" s="16" t="n">
        <v>4.57032113393639</v>
      </c>
      <c r="AJ118" s="16" t="n">
        <v>0.695916666666667</v>
      </c>
      <c r="AK118" s="16" t="n">
        <v>1.20833333333333</v>
      </c>
      <c r="AL118" s="16" t="n">
        <v>0</v>
      </c>
      <c r="AM118" s="16" t="n">
        <v>0</v>
      </c>
      <c r="AN118" s="16" t="n">
        <v>782.58522749838</v>
      </c>
      <c r="AO118" s="16" t="n">
        <v>185.02127250162</v>
      </c>
      <c r="AP118" s="16" t="n">
        <v>108.77872749838</v>
      </c>
      <c r="AQ118" s="14" t="n">
        <v>185.02127250162</v>
      </c>
      <c r="AR118" s="14" t="s">
        <v>256</v>
      </c>
      <c r="AS118" s="29"/>
      <c r="AT118" s="14"/>
      <c r="AU118" s="17"/>
      <c r="AV118" s="17"/>
      <c r="AW118" s="16" t="n">
        <v>0</v>
      </c>
      <c r="AX118" s="14" t="s">
        <v>257</v>
      </c>
      <c r="AY118" s="14" t="s">
        <v>257</v>
      </c>
      <c r="AZ118" s="14" t="s">
        <v>258</v>
      </c>
      <c r="BA118" s="14" t="s">
        <v>259</v>
      </c>
      <c r="BB118" s="14" t="s">
        <v>407</v>
      </c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</row>
    <row r="119" customFormat="false" ht="15" hidden="false" customHeight="false" outlineLevel="0" collapsed="false">
      <c r="C119" s="14" t="s">
        <v>268</v>
      </c>
      <c r="D119" s="14" t="s">
        <v>269</v>
      </c>
      <c r="E119" s="14" t="s">
        <v>287</v>
      </c>
      <c r="F119" s="14" t="s">
        <v>253</v>
      </c>
      <c r="G119" s="29" t="n">
        <v>46235</v>
      </c>
      <c r="H119" s="29" t="n">
        <v>46265</v>
      </c>
      <c r="I119" s="14" t="s">
        <v>254</v>
      </c>
      <c r="J119" s="14" t="s">
        <v>288</v>
      </c>
      <c r="K119" s="14" t="n">
        <v>31</v>
      </c>
      <c r="L119" s="16" t="n">
        <v>91.59891196995</v>
      </c>
      <c r="M119" s="30" t="n">
        <v>27.9159174302794</v>
      </c>
      <c r="N119" s="16" t="n">
        <v>10.0867049542532</v>
      </c>
      <c r="O119" s="16" t="n">
        <v>-9.1912405572414</v>
      </c>
      <c r="P119" s="16" t="n">
        <v>-1.2326047504102</v>
      </c>
      <c r="Q119" s="16" t="n">
        <v>0.942147836813369</v>
      </c>
      <c r="R119" s="16" t="n">
        <v>-3.20596191894825</v>
      </c>
      <c r="S119" s="16" t="n">
        <v>0</v>
      </c>
      <c r="T119" s="16" t="n">
        <v>6.59028612170815</v>
      </c>
      <c r="U119" s="16" t="n">
        <v>25</v>
      </c>
      <c r="V119" s="16" t="n">
        <v>25</v>
      </c>
      <c r="W119" s="16" t="n">
        <v>611.1875</v>
      </c>
      <c r="X119" s="16" t="n">
        <v>0</v>
      </c>
      <c r="Y119" s="16" t="n">
        <v>0</v>
      </c>
      <c r="Z119" s="16" t="n">
        <v>0</v>
      </c>
      <c r="AA119" s="16" t="n">
        <v>0</v>
      </c>
      <c r="AB119" s="16" t="n">
        <v>0</v>
      </c>
      <c r="AC119" s="16" t="n">
        <v>611.1875</v>
      </c>
      <c r="AD119" s="16" t="n">
        <v>108.77872749838</v>
      </c>
      <c r="AE119" s="16" t="n">
        <v>0</v>
      </c>
      <c r="AF119" s="16" t="n">
        <v>0.144705595471539</v>
      </c>
      <c r="AG119" s="16" t="n">
        <v>108.634021902908</v>
      </c>
      <c r="AH119" s="16" t="n">
        <v>4.54133052623661</v>
      </c>
      <c r="AI119" s="16" t="n">
        <v>4.54133052623661</v>
      </c>
      <c r="AJ119" s="16" t="n">
        <v>0.695916666666667</v>
      </c>
      <c r="AK119" s="16" t="n">
        <v>1.20833333333333</v>
      </c>
      <c r="AL119" s="16" t="n">
        <v>0</v>
      </c>
      <c r="AM119" s="16" t="n">
        <v>0</v>
      </c>
      <c r="AN119" s="16" t="n">
        <v>782.440521902908</v>
      </c>
      <c r="AO119" s="16" t="n">
        <v>185.165978097092</v>
      </c>
      <c r="AP119" s="16" t="n">
        <v>108.634021902908</v>
      </c>
      <c r="AQ119" s="14" t="n">
        <v>185.165978097092</v>
      </c>
      <c r="AR119" s="14" t="s">
        <v>256</v>
      </c>
      <c r="AS119" s="29"/>
      <c r="AT119" s="14"/>
      <c r="AU119" s="17"/>
      <c r="AV119" s="17"/>
      <c r="AW119" s="16" t="n">
        <v>0</v>
      </c>
      <c r="AX119" s="14" t="s">
        <v>257</v>
      </c>
      <c r="AY119" s="14" t="s">
        <v>257</v>
      </c>
      <c r="AZ119" s="14" t="s">
        <v>258</v>
      </c>
      <c r="BA119" s="14" t="s">
        <v>259</v>
      </c>
      <c r="BB119" s="14" t="s">
        <v>408</v>
      </c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</row>
    <row r="120" customFormat="false" ht="15" hidden="false" customHeight="false" outlineLevel="0" collapsed="false">
      <c r="C120" s="14" t="s">
        <v>268</v>
      </c>
      <c r="D120" s="14" t="s">
        <v>269</v>
      </c>
      <c r="E120" s="14" t="s">
        <v>293</v>
      </c>
      <c r="F120" s="14" t="s">
        <v>253</v>
      </c>
      <c r="G120" s="29" t="n">
        <v>46266</v>
      </c>
      <c r="H120" s="29" t="n">
        <v>46295</v>
      </c>
      <c r="I120" s="14" t="s">
        <v>254</v>
      </c>
      <c r="J120" s="14" t="s">
        <v>288</v>
      </c>
      <c r="K120" s="14" t="n">
        <v>30</v>
      </c>
      <c r="L120" s="16" t="n">
        <v>137.398367954925</v>
      </c>
      <c r="M120" s="30" t="n">
        <v>27.9159174302794</v>
      </c>
      <c r="N120" s="16" t="n">
        <v>15.1300574313798</v>
      </c>
      <c r="O120" s="16" t="n">
        <v>-9.1912405572414</v>
      </c>
      <c r="P120" s="16" t="n">
        <v>-1.8489071256153</v>
      </c>
      <c r="Q120" s="16" t="n">
        <v>1.41322175522005</v>
      </c>
      <c r="R120" s="16" t="n">
        <v>-4.80894287842238</v>
      </c>
      <c r="S120" s="16" t="n">
        <v>0</v>
      </c>
      <c r="T120" s="16" t="n">
        <v>9.88542918256222</v>
      </c>
      <c r="U120" s="16" t="n">
        <v>25</v>
      </c>
      <c r="V120" s="16" t="n">
        <v>25</v>
      </c>
      <c r="W120" s="16" t="n">
        <v>611.1875</v>
      </c>
      <c r="X120" s="16" t="n">
        <v>0</v>
      </c>
      <c r="Y120" s="16" t="n">
        <v>0</v>
      </c>
      <c r="Z120" s="16" t="n">
        <v>0</v>
      </c>
      <c r="AA120" s="16" t="n">
        <v>0</v>
      </c>
      <c r="AB120" s="16" t="n">
        <v>0</v>
      </c>
      <c r="AC120" s="16" t="n">
        <v>611.1875</v>
      </c>
      <c r="AD120" s="16" t="n">
        <v>108.634021902908</v>
      </c>
      <c r="AE120" s="16" t="n">
        <v>0</v>
      </c>
      <c r="AF120" s="16" t="n">
        <v>3.45119071259628</v>
      </c>
      <c r="AG120" s="16" t="n">
        <v>105.182831190312</v>
      </c>
      <c r="AH120" s="16" t="n">
        <v>4.52998846996594</v>
      </c>
      <c r="AI120" s="16" t="n">
        <v>4.52998846996594</v>
      </c>
      <c r="AJ120" s="16" t="n">
        <v>0.695916666666667</v>
      </c>
      <c r="AK120" s="16" t="n">
        <v>1.20833333333333</v>
      </c>
      <c r="AL120" s="16" t="n">
        <v>0</v>
      </c>
      <c r="AM120" s="16" t="n">
        <v>0</v>
      </c>
      <c r="AN120" s="16" t="n">
        <v>778.989331190312</v>
      </c>
      <c r="AO120" s="16" t="n">
        <v>188.617168809688</v>
      </c>
      <c r="AP120" s="16" t="n">
        <v>105.182831190312</v>
      </c>
      <c r="AQ120" s="14" t="n">
        <v>188.617168809688</v>
      </c>
      <c r="AR120" s="14" t="s">
        <v>256</v>
      </c>
      <c r="AS120" s="29"/>
      <c r="AT120" s="14"/>
      <c r="AU120" s="17"/>
      <c r="AV120" s="17"/>
      <c r="AW120" s="16" t="n">
        <v>0</v>
      </c>
      <c r="AX120" s="14" t="s">
        <v>257</v>
      </c>
      <c r="AY120" s="14" t="s">
        <v>257</v>
      </c>
      <c r="AZ120" s="14" t="s">
        <v>258</v>
      </c>
      <c r="BA120" s="14" t="s">
        <v>259</v>
      </c>
      <c r="BB120" s="14" t="s">
        <v>409</v>
      </c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</row>
    <row r="121" customFormat="false" ht="15" hidden="false" customHeight="false" outlineLevel="0" collapsed="false">
      <c r="C121" s="14" t="s">
        <v>268</v>
      </c>
      <c r="D121" s="14" t="s">
        <v>269</v>
      </c>
      <c r="E121" s="14" t="s">
        <v>297</v>
      </c>
      <c r="F121" s="14" t="s">
        <v>253</v>
      </c>
      <c r="G121" s="29" t="n">
        <v>46296</v>
      </c>
      <c r="H121" s="29" t="n">
        <v>46326</v>
      </c>
      <c r="I121" s="14" t="s">
        <v>254</v>
      </c>
      <c r="J121" s="14" t="s">
        <v>288</v>
      </c>
      <c r="K121" s="14" t="n">
        <v>31</v>
      </c>
      <c r="L121" s="16" t="n">
        <v>228.997279924875</v>
      </c>
      <c r="M121" s="30" t="n">
        <v>27.9159174302794</v>
      </c>
      <c r="N121" s="16" t="n">
        <v>25.2167623856331</v>
      </c>
      <c r="O121" s="16" t="n">
        <v>-9.1912405572414</v>
      </c>
      <c r="P121" s="16" t="n">
        <v>-3.0815118760255</v>
      </c>
      <c r="Q121" s="16" t="n">
        <v>2.35536959203342</v>
      </c>
      <c r="R121" s="16" t="n">
        <v>-8.01490479737062</v>
      </c>
      <c r="S121" s="16" t="n">
        <v>0</v>
      </c>
      <c r="T121" s="16" t="n">
        <v>16.4757153042704</v>
      </c>
      <c r="U121" s="16" t="n">
        <v>25</v>
      </c>
      <c r="V121" s="16" t="n">
        <v>25</v>
      </c>
      <c r="W121" s="16" t="n">
        <v>611.1875</v>
      </c>
      <c r="X121" s="16" t="n">
        <v>11.90625</v>
      </c>
      <c r="Y121" s="16" t="n">
        <v>11.90625</v>
      </c>
      <c r="Z121" s="16" t="n">
        <v>0</v>
      </c>
      <c r="AA121" s="16" t="n">
        <v>0</v>
      </c>
      <c r="AB121" s="16" t="n">
        <v>0</v>
      </c>
      <c r="AC121" s="16" t="n">
        <v>599.28125</v>
      </c>
      <c r="AD121" s="16" t="n">
        <v>105.182831190312</v>
      </c>
      <c r="AE121" s="16" t="n">
        <v>1.82208038332201</v>
      </c>
      <c r="AF121" s="16" t="n">
        <v>0</v>
      </c>
      <c r="AG121" s="16" t="n">
        <v>107.004911573634</v>
      </c>
      <c r="AH121" s="16" t="n">
        <v>4.48729568759238</v>
      </c>
      <c r="AI121" s="16" t="n">
        <v>4.48729568759238</v>
      </c>
      <c r="AJ121" s="16" t="n">
        <v>0.695916666666667</v>
      </c>
      <c r="AK121" s="16" t="n">
        <v>1.20833333333333</v>
      </c>
      <c r="AL121" s="16" t="n">
        <v>0</v>
      </c>
      <c r="AM121" s="16" t="n">
        <v>0</v>
      </c>
      <c r="AN121" s="16" t="n">
        <v>768.905161573634</v>
      </c>
      <c r="AO121" s="16" t="n">
        <v>186.795088426366</v>
      </c>
      <c r="AP121" s="16" t="n">
        <v>107.004911573634</v>
      </c>
      <c r="AQ121" s="14" t="n">
        <v>186.795088426366</v>
      </c>
      <c r="AR121" s="14" t="s">
        <v>372</v>
      </c>
      <c r="AS121" s="29"/>
      <c r="AT121" s="14" t="n">
        <v>183.025107508387</v>
      </c>
      <c r="AU121" s="17" t="n">
        <v>4.20109116197841</v>
      </c>
      <c r="AV121" s="17"/>
      <c r="AW121" s="16" t="n">
        <v>0</v>
      </c>
      <c r="AX121" s="14" t="s">
        <v>257</v>
      </c>
      <c r="AY121" s="14" t="s">
        <v>257</v>
      </c>
      <c r="AZ121" s="14" t="s">
        <v>373</v>
      </c>
      <c r="BA121" s="14" t="s">
        <v>259</v>
      </c>
      <c r="BB121" s="14" t="s">
        <v>410</v>
      </c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</row>
    <row r="122" customFormat="false" ht="15" hidden="false" customHeight="false" outlineLevel="0" collapsed="false">
      <c r="C122" s="14" t="s">
        <v>268</v>
      </c>
      <c r="D122" s="14" t="s">
        <v>269</v>
      </c>
      <c r="E122" s="14" t="s">
        <v>301</v>
      </c>
      <c r="F122" s="14" t="s">
        <v>253</v>
      </c>
      <c r="G122" s="29" t="n">
        <v>46327</v>
      </c>
      <c r="H122" s="29" t="n">
        <v>46356</v>
      </c>
      <c r="I122" s="14" t="s">
        <v>302</v>
      </c>
      <c r="J122" s="14" t="s">
        <v>303</v>
      </c>
      <c r="K122" s="14" t="n">
        <v>30</v>
      </c>
      <c r="L122" s="16" t="n">
        <v>74.8044876353551</v>
      </c>
      <c r="M122" s="30" t="n">
        <v>22.9096754759419</v>
      </c>
      <c r="N122" s="16" t="n">
        <v>4.49243996433288</v>
      </c>
      <c r="O122" s="16" t="n">
        <v>-7.50605029941072</v>
      </c>
      <c r="P122" s="16" t="n">
        <v>-0.0703864365908679</v>
      </c>
      <c r="Q122" s="16" t="n">
        <v>0.821762615170887</v>
      </c>
      <c r="R122" s="16" t="n">
        <v>-2.61815706723743</v>
      </c>
      <c r="S122" s="16" t="n">
        <v>0</v>
      </c>
      <c r="T122" s="16" t="n">
        <v>2.62565907567547</v>
      </c>
      <c r="U122" s="16" t="n">
        <v>25</v>
      </c>
      <c r="V122" s="16" t="n">
        <v>25</v>
      </c>
      <c r="W122" s="16" t="n">
        <v>599.28125</v>
      </c>
      <c r="X122" s="16" t="n">
        <v>0</v>
      </c>
      <c r="Y122" s="16" t="n">
        <v>0</v>
      </c>
      <c r="Z122" s="16" t="n">
        <v>0</v>
      </c>
      <c r="AA122" s="16" t="n">
        <v>0</v>
      </c>
      <c r="AB122" s="16" t="n">
        <v>0</v>
      </c>
      <c r="AC122" s="16" t="n">
        <v>599.28125</v>
      </c>
      <c r="AD122" s="16" t="n">
        <v>107.004911573634</v>
      </c>
      <c r="AE122" s="16" t="n">
        <v>3.71914359233119</v>
      </c>
      <c r="AF122" s="16" t="n">
        <v>0</v>
      </c>
      <c r="AG122" s="16" t="n">
        <v>110.724055165965</v>
      </c>
      <c r="AH122" s="16" t="n">
        <v>4.46721933467333</v>
      </c>
      <c r="AI122" s="16" t="n">
        <v>4.46721933467333</v>
      </c>
      <c r="AJ122" s="16" t="n">
        <v>0.66925</v>
      </c>
      <c r="AK122" s="16" t="n">
        <v>1.20833333333333</v>
      </c>
      <c r="AL122" s="16" t="n">
        <v>0</v>
      </c>
      <c r="AM122" s="16" t="n">
        <v>0</v>
      </c>
      <c r="AN122" s="16" t="n">
        <v>772.624305165965</v>
      </c>
      <c r="AO122" s="16" t="n">
        <v>183.075944834035</v>
      </c>
      <c r="AP122" s="16" t="n">
        <v>110.724055165965</v>
      </c>
      <c r="AQ122" s="14" t="n">
        <v>183.075944834035</v>
      </c>
      <c r="AR122" s="14" t="s">
        <v>372</v>
      </c>
      <c r="AS122" s="29"/>
      <c r="AT122" s="14" t="n">
        <v>176.842539568931</v>
      </c>
      <c r="AU122" s="17" t="n">
        <v>4.36899575774757</v>
      </c>
      <c r="AV122" s="17"/>
      <c r="AW122" s="16" t="n">
        <v>0</v>
      </c>
      <c r="AX122" s="14" t="s">
        <v>257</v>
      </c>
      <c r="AY122" s="14" t="s">
        <v>257</v>
      </c>
      <c r="AZ122" s="14" t="s">
        <v>373</v>
      </c>
      <c r="BA122" s="14" t="s">
        <v>259</v>
      </c>
      <c r="BB122" s="14" t="s">
        <v>411</v>
      </c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</row>
    <row r="123" customFormat="false" ht="15" hidden="false" customHeight="false" outlineLevel="0" collapsed="false">
      <c r="C123" s="14" t="s">
        <v>268</v>
      </c>
      <c r="D123" s="14" t="s">
        <v>269</v>
      </c>
      <c r="E123" s="14" t="s">
        <v>305</v>
      </c>
      <c r="F123" s="14" t="s">
        <v>253</v>
      </c>
      <c r="G123" s="29" t="n">
        <v>46357</v>
      </c>
      <c r="H123" s="29" t="n">
        <v>46387</v>
      </c>
      <c r="I123" s="14" t="s">
        <v>302</v>
      </c>
      <c r="J123" s="14" t="s">
        <v>303</v>
      </c>
      <c r="K123" s="14" t="n">
        <v>31</v>
      </c>
      <c r="L123" s="16" t="n">
        <v>112.206731453033</v>
      </c>
      <c r="M123" s="30" t="n">
        <v>22.9096754759419</v>
      </c>
      <c r="N123" s="16" t="n">
        <v>6.73865994649932</v>
      </c>
      <c r="O123" s="16" t="n">
        <v>-7.50605029941072</v>
      </c>
      <c r="P123" s="16" t="n">
        <v>-0.105579654886302</v>
      </c>
      <c r="Q123" s="16" t="n">
        <v>1.23264392275633</v>
      </c>
      <c r="R123" s="16" t="n">
        <v>-3.92723560085615</v>
      </c>
      <c r="S123" s="16" t="n">
        <v>0</v>
      </c>
      <c r="T123" s="16" t="n">
        <v>3.93848861351321</v>
      </c>
      <c r="U123" s="16" t="n">
        <v>25</v>
      </c>
      <c r="V123" s="16" t="n">
        <v>25</v>
      </c>
      <c r="W123" s="16" t="n">
        <v>599.28125</v>
      </c>
      <c r="X123" s="16" t="n">
        <v>0</v>
      </c>
      <c r="Y123" s="16" t="n">
        <v>0</v>
      </c>
      <c r="Z123" s="16" t="n">
        <v>0</v>
      </c>
      <c r="AA123" s="16" t="n">
        <v>0</v>
      </c>
      <c r="AB123" s="16" t="n">
        <v>0</v>
      </c>
      <c r="AC123" s="16" t="n">
        <v>599.28125</v>
      </c>
      <c r="AD123" s="16" t="n">
        <v>110.724055165965</v>
      </c>
      <c r="AE123" s="16" t="n">
        <v>2.42569590240015</v>
      </c>
      <c r="AF123" s="16" t="n">
        <v>0</v>
      </c>
      <c r="AG123" s="16" t="n">
        <v>113.149751068365</v>
      </c>
      <c r="AH123" s="16" t="n">
        <v>4.48660118258003</v>
      </c>
      <c r="AI123" s="16" t="n">
        <v>4.48660118258003</v>
      </c>
      <c r="AJ123" s="16" t="n">
        <v>0.66925</v>
      </c>
      <c r="AK123" s="16" t="n">
        <v>1.20833333333333</v>
      </c>
      <c r="AL123" s="16" t="n">
        <v>0</v>
      </c>
      <c r="AM123" s="16" t="n">
        <v>0</v>
      </c>
      <c r="AN123" s="16" t="n">
        <v>775.050001068365</v>
      </c>
      <c r="AO123" s="16" t="n">
        <v>180.650248931635</v>
      </c>
      <c r="AP123" s="16" t="n">
        <v>113.149751068365</v>
      </c>
      <c r="AQ123" s="14" t="n">
        <v>180.650248931635</v>
      </c>
      <c r="AR123" s="14" t="s">
        <v>372</v>
      </c>
      <c r="AS123" s="29"/>
      <c r="AT123" s="14" t="n">
        <v>172.906191611641</v>
      </c>
      <c r="AU123" s="17" t="n">
        <v>4.48248841666226</v>
      </c>
      <c r="AV123" s="17"/>
      <c r="AW123" s="16" t="n">
        <v>0</v>
      </c>
      <c r="AX123" s="14" t="s">
        <v>257</v>
      </c>
      <c r="AY123" s="14" t="s">
        <v>257</v>
      </c>
      <c r="AZ123" s="14" t="s">
        <v>373</v>
      </c>
      <c r="BA123" s="14" t="s">
        <v>259</v>
      </c>
      <c r="BB123" s="14" t="s">
        <v>412</v>
      </c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</row>
    <row r="124" customFormat="false" ht="15" hidden="false" customHeight="false" outlineLevel="0" collapsed="false">
      <c r="C124" s="14" t="s">
        <v>268</v>
      </c>
      <c r="D124" s="14" t="s">
        <v>269</v>
      </c>
      <c r="E124" s="14" t="s">
        <v>307</v>
      </c>
      <c r="F124" s="14" t="s">
        <v>253</v>
      </c>
      <c r="G124" s="29" t="n">
        <v>46388</v>
      </c>
      <c r="H124" s="29" t="n">
        <v>46418</v>
      </c>
      <c r="I124" s="14" t="s">
        <v>302</v>
      </c>
      <c r="J124" s="14" t="s">
        <v>303</v>
      </c>
      <c r="K124" s="14" t="n">
        <v>31</v>
      </c>
      <c r="L124" s="16" t="n">
        <v>187.011219088388</v>
      </c>
      <c r="M124" s="30" t="n">
        <v>22.9096754759419</v>
      </c>
      <c r="N124" s="16" t="n">
        <v>11.2310999108322</v>
      </c>
      <c r="O124" s="16" t="n">
        <v>-7.50605029941072</v>
      </c>
      <c r="P124" s="16" t="n">
        <v>-0.17596609147717</v>
      </c>
      <c r="Q124" s="16" t="n">
        <v>2.05440653792722</v>
      </c>
      <c r="R124" s="16" t="n">
        <v>-6.54539266809358</v>
      </c>
      <c r="S124" s="16" t="n">
        <v>0</v>
      </c>
      <c r="T124" s="16" t="n">
        <v>6.56414768918868</v>
      </c>
      <c r="U124" s="16" t="n">
        <v>25</v>
      </c>
      <c r="V124" s="16" t="n">
        <v>25</v>
      </c>
      <c r="W124" s="16" t="n">
        <v>599.28125</v>
      </c>
      <c r="X124" s="16" t="n">
        <v>11.90625</v>
      </c>
      <c r="Y124" s="16" t="n">
        <v>11.90625</v>
      </c>
      <c r="Z124" s="16" t="n">
        <v>0</v>
      </c>
      <c r="AA124" s="16" t="n">
        <v>0</v>
      </c>
      <c r="AB124" s="16" t="n">
        <v>0</v>
      </c>
      <c r="AC124" s="16" t="n">
        <v>587.375</v>
      </c>
      <c r="AD124" s="16" t="n">
        <v>113.149751068365</v>
      </c>
      <c r="AE124" s="16" t="n">
        <v>11.7133293720703</v>
      </c>
      <c r="AF124" s="16" t="n">
        <v>0</v>
      </c>
      <c r="AG124" s="16" t="n">
        <v>124.863080440436</v>
      </c>
      <c r="AH124" s="16" t="n">
        <v>4.49364372792567</v>
      </c>
      <c r="AI124" s="16" t="n">
        <v>4.49364372792567</v>
      </c>
      <c r="AJ124" s="16" t="n">
        <v>0.66925</v>
      </c>
      <c r="AK124" s="16" t="n">
        <v>1.20833333333333</v>
      </c>
      <c r="AL124" s="16" t="n">
        <v>0</v>
      </c>
      <c r="AM124" s="16" t="n">
        <v>0</v>
      </c>
      <c r="AN124" s="16" t="n">
        <v>774.857080440436</v>
      </c>
      <c r="AO124" s="16" t="n">
        <v>168.936919559564</v>
      </c>
      <c r="AP124" s="16" t="n">
        <v>124.863080440436</v>
      </c>
      <c r="AQ124" s="14" t="n">
        <v>168.936919559564</v>
      </c>
      <c r="AR124" s="14" t="s">
        <v>372</v>
      </c>
      <c r="AS124" s="29"/>
      <c r="AT124" s="14" t="n">
        <v>173.462283618684</v>
      </c>
      <c r="AU124" s="17" t="n">
        <v>4.46700610804697</v>
      </c>
      <c r="AV124" s="17" t="n">
        <v>3.21683406720596</v>
      </c>
      <c r="AW124" s="16" t="n">
        <v>0</v>
      </c>
      <c r="AX124" s="14" t="s">
        <v>257</v>
      </c>
      <c r="AY124" s="14" t="s">
        <v>257</v>
      </c>
      <c r="AZ124" s="14" t="s">
        <v>373</v>
      </c>
      <c r="BA124" s="14" t="s">
        <v>259</v>
      </c>
      <c r="BB124" s="14" t="s">
        <v>413</v>
      </c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</row>
    <row r="125" customFormat="false" ht="15" hidden="false" customHeight="false" outlineLevel="0" collapsed="false">
      <c r="C125" s="14" t="s">
        <v>268</v>
      </c>
      <c r="D125" s="14" t="s">
        <v>269</v>
      </c>
      <c r="E125" s="14" t="s">
        <v>309</v>
      </c>
      <c r="F125" s="14" t="s">
        <v>253</v>
      </c>
      <c r="G125" s="29" t="n">
        <v>46419</v>
      </c>
      <c r="H125" s="29" t="n">
        <v>46446</v>
      </c>
      <c r="I125" s="14" t="s">
        <v>302</v>
      </c>
      <c r="J125" s="14" t="s">
        <v>255</v>
      </c>
      <c r="K125" s="14" t="n">
        <v>28</v>
      </c>
      <c r="L125" s="16" t="n">
        <v>86.0796353568275</v>
      </c>
      <c r="M125" s="30" t="n">
        <v>28.8693217195837</v>
      </c>
      <c r="N125" s="16" t="n">
        <v>10.7300174026377</v>
      </c>
      <c r="O125" s="16" t="n">
        <v>-8.48987268244684</v>
      </c>
      <c r="P125" s="16" t="n">
        <v>-1.4711056422828</v>
      </c>
      <c r="Q125" s="16" t="n">
        <v>3.48264964411667</v>
      </c>
      <c r="R125" s="16" t="n">
        <v>-3.01278723748896</v>
      </c>
      <c r="S125" s="16" t="n">
        <v>0</v>
      </c>
      <c r="T125" s="16" t="n">
        <v>9.72877416698264</v>
      </c>
      <c r="U125" s="16" t="n">
        <v>25</v>
      </c>
      <c r="V125" s="16" t="n">
        <v>25</v>
      </c>
      <c r="W125" s="16" t="n">
        <v>587.375</v>
      </c>
      <c r="X125" s="16" t="n">
        <v>0</v>
      </c>
      <c r="Y125" s="16" t="n">
        <v>0</v>
      </c>
      <c r="Z125" s="16" t="n">
        <v>0</v>
      </c>
      <c r="AA125" s="16" t="n">
        <v>0</v>
      </c>
      <c r="AB125" s="16" t="n">
        <v>0</v>
      </c>
      <c r="AC125" s="16" t="n">
        <v>587.375</v>
      </c>
      <c r="AD125" s="16" t="n">
        <v>124.863080440436</v>
      </c>
      <c r="AE125" s="16" t="n">
        <v>0</v>
      </c>
      <c r="AF125" s="16" t="n">
        <v>3.51726620488663</v>
      </c>
      <c r="AG125" s="16" t="n">
        <v>121.345814235549</v>
      </c>
      <c r="AH125" s="16" t="n">
        <v>4.33392462876268</v>
      </c>
      <c r="AI125" s="16" t="n">
        <v>4.33392462876268</v>
      </c>
      <c r="AJ125" s="16" t="n">
        <v>0.66925</v>
      </c>
      <c r="AK125" s="16" t="n">
        <v>1.20833333333333</v>
      </c>
      <c r="AL125" s="16" t="n">
        <v>0</v>
      </c>
      <c r="AM125" s="16" t="n">
        <v>0</v>
      </c>
      <c r="AN125" s="16" t="n">
        <v>771.339814235549</v>
      </c>
      <c r="AO125" s="16" t="n">
        <v>172.454185764451</v>
      </c>
      <c r="AP125" s="16" t="n">
        <v>121.345814235549</v>
      </c>
      <c r="AQ125" s="14" t="n">
        <v>172.454185764451</v>
      </c>
      <c r="AR125" s="14" t="s">
        <v>372</v>
      </c>
      <c r="AS125" s="29"/>
      <c r="AT125" s="14" t="n">
        <v>174.068374886455</v>
      </c>
      <c r="AU125" s="17" t="n">
        <v>4.43124613956266</v>
      </c>
      <c r="AV125" s="17" t="n">
        <v>3.22272647972176</v>
      </c>
      <c r="AW125" s="16" t="n">
        <v>0</v>
      </c>
      <c r="AX125" s="14" t="s">
        <v>257</v>
      </c>
      <c r="AY125" s="14" t="s">
        <v>257</v>
      </c>
      <c r="AZ125" s="14" t="s">
        <v>373</v>
      </c>
      <c r="BA125" s="14" t="s">
        <v>259</v>
      </c>
      <c r="BB125" s="14" t="s">
        <v>414</v>
      </c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</row>
    <row r="126" customFormat="false" ht="15" hidden="false" customHeight="false" outlineLevel="0" collapsed="false">
      <c r="C126" s="14" t="s">
        <v>268</v>
      </c>
      <c r="D126" s="14" t="s">
        <v>269</v>
      </c>
      <c r="E126" s="14" t="s">
        <v>311</v>
      </c>
      <c r="F126" s="14" t="s">
        <v>253</v>
      </c>
      <c r="G126" s="29" t="n">
        <v>46447</v>
      </c>
      <c r="H126" s="29" t="n">
        <v>46477</v>
      </c>
      <c r="I126" s="14" t="s">
        <v>302</v>
      </c>
      <c r="J126" s="14" t="s">
        <v>255</v>
      </c>
      <c r="K126" s="14" t="n">
        <v>31</v>
      </c>
      <c r="L126" s="16" t="n">
        <v>129.119453035241</v>
      </c>
      <c r="M126" s="30" t="n">
        <v>28.8693217195837</v>
      </c>
      <c r="N126" s="16" t="n">
        <v>16.0950261039566</v>
      </c>
      <c r="O126" s="16" t="n">
        <v>-8.48987268244684</v>
      </c>
      <c r="P126" s="16" t="n">
        <v>-2.2066584634242</v>
      </c>
      <c r="Q126" s="16" t="n">
        <v>5.22397446617501</v>
      </c>
      <c r="R126" s="16" t="n">
        <v>-4.51918085623344</v>
      </c>
      <c r="S126" s="16" t="n">
        <v>0</v>
      </c>
      <c r="T126" s="16" t="n">
        <v>14.593161250474</v>
      </c>
      <c r="U126" s="16" t="n">
        <v>25</v>
      </c>
      <c r="V126" s="16" t="n">
        <v>25</v>
      </c>
      <c r="W126" s="16" t="n">
        <v>587.375</v>
      </c>
      <c r="X126" s="16" t="n">
        <v>0</v>
      </c>
      <c r="Y126" s="16" t="n">
        <v>0</v>
      </c>
      <c r="Z126" s="16" t="n">
        <v>0</v>
      </c>
      <c r="AA126" s="16" t="n">
        <v>0</v>
      </c>
      <c r="AB126" s="16" t="n">
        <v>0</v>
      </c>
      <c r="AC126" s="16" t="n">
        <v>587.375</v>
      </c>
      <c r="AD126" s="16" t="n">
        <v>121.345814235549</v>
      </c>
      <c r="AE126" s="16" t="n">
        <v>0</v>
      </c>
      <c r="AF126" s="16" t="n">
        <v>8.41805602116613</v>
      </c>
      <c r="AG126" s="16" t="n">
        <v>112.927758214383</v>
      </c>
      <c r="AH126" s="16" t="n">
        <v>4.29752189597451</v>
      </c>
      <c r="AI126" s="16" t="n">
        <v>4.29752189597451</v>
      </c>
      <c r="AJ126" s="16" t="n">
        <v>0.66925</v>
      </c>
      <c r="AK126" s="16" t="n">
        <v>1.20833333333333</v>
      </c>
      <c r="AL126" s="16" t="n">
        <v>0</v>
      </c>
      <c r="AM126" s="16" t="n">
        <v>0</v>
      </c>
      <c r="AN126" s="16" t="n">
        <v>762.921758214383</v>
      </c>
      <c r="AO126" s="16" t="n">
        <v>180.872241785617</v>
      </c>
      <c r="AP126" s="16" t="n">
        <v>112.927758214383</v>
      </c>
      <c r="AQ126" s="14" t="n">
        <v>180.872241785617</v>
      </c>
      <c r="AR126" s="14" t="s">
        <v>372</v>
      </c>
      <c r="AS126" s="29"/>
      <c r="AT126" s="14" t="n">
        <v>174.977511788112</v>
      </c>
      <c r="AU126" s="17" t="n">
        <v>4.36011319636456</v>
      </c>
      <c r="AV126" s="17" t="n">
        <v>3.24328547922672</v>
      </c>
      <c r="AW126" s="16" t="n">
        <v>0</v>
      </c>
      <c r="AX126" s="14" t="s">
        <v>257</v>
      </c>
      <c r="AY126" s="14" t="s">
        <v>257</v>
      </c>
      <c r="AZ126" s="14" t="s">
        <v>373</v>
      </c>
      <c r="BA126" s="14" t="s">
        <v>259</v>
      </c>
      <c r="BB126" s="14" t="s">
        <v>415</v>
      </c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</row>
    <row r="127" customFormat="false" ht="15" hidden="false" customHeight="false" outlineLevel="0" collapsed="false">
      <c r="C127" s="14" t="s">
        <v>268</v>
      </c>
      <c r="D127" s="14" t="s">
        <v>269</v>
      </c>
      <c r="E127" s="14" t="s">
        <v>313</v>
      </c>
      <c r="F127" s="14" t="s">
        <v>253</v>
      </c>
      <c r="G127" s="29" t="n">
        <v>46478</v>
      </c>
      <c r="H127" s="29" t="n">
        <v>46507</v>
      </c>
      <c r="I127" s="14" t="s">
        <v>302</v>
      </c>
      <c r="J127" s="14" t="s">
        <v>255</v>
      </c>
      <c r="K127" s="14" t="n">
        <v>30</v>
      </c>
      <c r="L127" s="16" t="n">
        <v>215.199088392069</v>
      </c>
      <c r="M127" s="30" t="n">
        <v>28.8693217195837</v>
      </c>
      <c r="N127" s="16" t="n">
        <v>26.8250435065943</v>
      </c>
      <c r="O127" s="16" t="n">
        <v>-8.48987268244684</v>
      </c>
      <c r="P127" s="16" t="n">
        <v>-3.677764105707</v>
      </c>
      <c r="Q127" s="16" t="n">
        <v>8.70662411029168</v>
      </c>
      <c r="R127" s="16" t="n">
        <v>-7.5319680937224</v>
      </c>
      <c r="S127" s="16" t="n">
        <v>0</v>
      </c>
      <c r="T127" s="16" t="n">
        <v>24.3219354174566</v>
      </c>
      <c r="U127" s="16" t="n">
        <v>25</v>
      </c>
      <c r="V127" s="16" t="n">
        <v>25</v>
      </c>
      <c r="W127" s="16" t="n">
        <v>587.375</v>
      </c>
      <c r="X127" s="16" t="n">
        <v>11.90625</v>
      </c>
      <c r="Y127" s="16" t="n">
        <v>11.90625</v>
      </c>
      <c r="Z127" s="16" t="n">
        <v>0</v>
      </c>
      <c r="AA127" s="16" t="n">
        <v>0</v>
      </c>
      <c r="AB127" s="16" t="n">
        <v>0</v>
      </c>
      <c r="AC127" s="16" t="n">
        <v>575.46875</v>
      </c>
      <c r="AD127" s="16" t="n">
        <v>112.927758214383</v>
      </c>
      <c r="AE127" s="16" t="n">
        <v>0</v>
      </c>
      <c r="AF127" s="16" t="n">
        <v>6.32185096696312</v>
      </c>
      <c r="AG127" s="16" t="n">
        <v>106.60590724742</v>
      </c>
      <c r="AH127" s="16" t="n">
        <v>4.21625111716016</v>
      </c>
      <c r="AI127" s="16" t="n">
        <v>4.21625111716016</v>
      </c>
      <c r="AJ127" s="16" t="n">
        <v>0.66925</v>
      </c>
      <c r="AK127" s="16" t="n">
        <v>1.20833333333333</v>
      </c>
      <c r="AL127" s="16" t="n">
        <v>0</v>
      </c>
      <c r="AM127" s="16" t="n">
        <v>0</v>
      </c>
      <c r="AN127" s="16" t="n">
        <v>744.69365724742</v>
      </c>
      <c r="AO127" s="16" t="n">
        <v>187.19409275258</v>
      </c>
      <c r="AP127" s="16" t="n">
        <v>106.60590724742</v>
      </c>
      <c r="AQ127" s="14" t="n">
        <v>187.19409275258</v>
      </c>
      <c r="AR127" s="14" t="s">
        <v>372</v>
      </c>
      <c r="AS127" s="29"/>
      <c r="AT127" s="14" t="n">
        <v>176.492739957541</v>
      </c>
      <c r="AU127" s="17" t="n">
        <v>4.21940107806458</v>
      </c>
      <c r="AV127" s="17" t="n">
        <v>3.28987009709224</v>
      </c>
      <c r="AW127" s="16" t="n">
        <v>0</v>
      </c>
      <c r="AX127" s="14" t="s">
        <v>257</v>
      </c>
      <c r="AY127" s="14" t="s">
        <v>257</v>
      </c>
      <c r="AZ127" s="14" t="s">
        <v>373</v>
      </c>
      <c r="BA127" s="14" t="s">
        <v>259</v>
      </c>
      <c r="BB127" s="14" t="s">
        <v>416</v>
      </c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</row>
    <row r="128" customFormat="false" ht="15" hidden="false" customHeight="false" outlineLevel="0" collapsed="false">
      <c r="C128" s="14" t="s">
        <v>268</v>
      </c>
      <c r="D128" s="14" t="s">
        <v>269</v>
      </c>
      <c r="E128" s="14" t="s">
        <v>315</v>
      </c>
      <c r="F128" s="14" t="s">
        <v>253</v>
      </c>
      <c r="G128" s="29" t="n">
        <v>46508</v>
      </c>
      <c r="H128" s="29" t="n">
        <v>46538</v>
      </c>
      <c r="I128" s="14" t="s">
        <v>302</v>
      </c>
      <c r="J128" s="14" t="s">
        <v>271</v>
      </c>
      <c r="K128" s="14" t="n">
        <v>31</v>
      </c>
      <c r="L128" s="16" t="n">
        <v>95.8305337936221</v>
      </c>
      <c r="M128" s="30" t="n">
        <v>27.6901735836919</v>
      </c>
      <c r="N128" s="16" t="n">
        <v>11.2946572285611</v>
      </c>
      <c r="O128" s="16" t="n">
        <v>-9.29283791267971</v>
      </c>
      <c r="P128" s="16" t="n">
        <v>-1.47504120506262</v>
      </c>
      <c r="Q128" s="16" t="n">
        <v>3.26723358675642</v>
      </c>
      <c r="R128" s="16" t="n">
        <v>-3.35406868277677</v>
      </c>
      <c r="S128" s="16" t="n">
        <v>0</v>
      </c>
      <c r="T128" s="16" t="n">
        <v>9.73278092747808</v>
      </c>
      <c r="U128" s="16" t="n">
        <v>25</v>
      </c>
      <c r="V128" s="16" t="n">
        <v>25</v>
      </c>
      <c r="W128" s="16" t="n">
        <v>575.46875</v>
      </c>
      <c r="X128" s="16" t="n">
        <v>0</v>
      </c>
      <c r="Y128" s="16" t="n">
        <v>0</v>
      </c>
      <c r="Z128" s="16" t="n">
        <v>0</v>
      </c>
      <c r="AA128" s="16" t="n">
        <v>0</v>
      </c>
      <c r="AB128" s="16" t="n">
        <v>0</v>
      </c>
      <c r="AC128" s="16" t="n">
        <v>575.46875</v>
      </c>
      <c r="AD128" s="16" t="n">
        <v>106.60590724742</v>
      </c>
      <c r="AE128" s="16" t="n">
        <v>0</v>
      </c>
      <c r="AF128" s="16" t="n">
        <v>3.84797656950552</v>
      </c>
      <c r="AG128" s="16" t="n">
        <v>102.757930677914</v>
      </c>
      <c r="AH128" s="16" t="n">
        <v>4.00722102463923</v>
      </c>
      <c r="AI128" s="16" t="n">
        <v>4.00722102463923</v>
      </c>
      <c r="AJ128" s="16" t="n">
        <v>0.66925</v>
      </c>
      <c r="AK128" s="16" t="n">
        <v>1.20833333333333</v>
      </c>
      <c r="AL128" s="16" t="n">
        <v>0</v>
      </c>
      <c r="AM128" s="16" t="n">
        <v>0</v>
      </c>
      <c r="AN128" s="16" t="n">
        <v>740.845680677914</v>
      </c>
      <c r="AO128" s="16" t="n">
        <v>191.042069322086</v>
      </c>
      <c r="AP128" s="16" t="n">
        <v>102.757930677914</v>
      </c>
      <c r="AQ128" s="14" t="n">
        <v>191.042069322086</v>
      </c>
      <c r="AR128" s="14" t="s">
        <v>372</v>
      </c>
      <c r="AS128" s="29"/>
      <c r="AT128" s="14" t="n">
        <v>177.798011515818</v>
      </c>
      <c r="AU128" s="17" t="n">
        <v>4.16678271237024</v>
      </c>
      <c r="AV128" s="17" t="n">
        <v>3.35221223820832</v>
      </c>
      <c r="AW128" s="16" t="n">
        <v>0</v>
      </c>
      <c r="AX128" s="14" t="s">
        <v>257</v>
      </c>
      <c r="AY128" s="14" t="s">
        <v>257</v>
      </c>
      <c r="AZ128" s="14" t="s">
        <v>373</v>
      </c>
      <c r="BA128" s="14" t="s">
        <v>259</v>
      </c>
      <c r="BB128" s="14" t="s">
        <v>417</v>
      </c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</row>
    <row r="129" customFormat="false" ht="15" hidden="false" customHeight="false" outlineLevel="0" collapsed="false">
      <c r="C129" s="14" t="s">
        <v>268</v>
      </c>
      <c r="D129" s="14" t="s">
        <v>269</v>
      </c>
      <c r="E129" s="14" t="s">
        <v>317</v>
      </c>
      <c r="F129" s="14" t="s">
        <v>253</v>
      </c>
      <c r="G129" s="29" t="n">
        <v>46539</v>
      </c>
      <c r="H129" s="29" t="n">
        <v>46568</v>
      </c>
      <c r="I129" s="14" t="s">
        <v>302</v>
      </c>
      <c r="J129" s="14" t="s">
        <v>271</v>
      </c>
      <c r="K129" s="14" t="n">
        <v>30</v>
      </c>
      <c r="L129" s="16" t="n">
        <v>143.745800690433</v>
      </c>
      <c r="M129" s="30" t="n">
        <v>27.6901735836919</v>
      </c>
      <c r="N129" s="16" t="n">
        <v>16.9419858428416</v>
      </c>
      <c r="O129" s="16" t="n">
        <v>-9.29283791267971</v>
      </c>
      <c r="P129" s="16" t="n">
        <v>-2.21256180759393</v>
      </c>
      <c r="Q129" s="16" t="n">
        <v>4.90085038013463</v>
      </c>
      <c r="R129" s="16" t="n">
        <v>-5.03110302416516</v>
      </c>
      <c r="S129" s="16" t="n">
        <v>0</v>
      </c>
      <c r="T129" s="16" t="n">
        <v>14.5991713912171</v>
      </c>
      <c r="U129" s="16" t="n">
        <v>25</v>
      </c>
      <c r="V129" s="16" t="n">
        <v>25</v>
      </c>
      <c r="W129" s="16" t="n">
        <v>575.46875</v>
      </c>
      <c r="X129" s="16" t="n">
        <v>0</v>
      </c>
      <c r="Y129" s="16" t="n">
        <v>0</v>
      </c>
      <c r="Z129" s="16" t="n">
        <v>0</v>
      </c>
      <c r="AA129" s="16" t="n">
        <v>0</v>
      </c>
      <c r="AB129" s="16" t="n">
        <v>0</v>
      </c>
      <c r="AC129" s="16" t="n">
        <v>575.46875</v>
      </c>
      <c r="AD129" s="16" t="n">
        <v>102.757930677914</v>
      </c>
      <c r="AE129" s="16" t="n">
        <v>0</v>
      </c>
      <c r="AF129" s="16" t="n">
        <v>8.75148294105166</v>
      </c>
      <c r="AG129" s="16" t="n">
        <v>94.0064477368626</v>
      </c>
      <c r="AH129" s="16" t="n">
        <v>3.97010511683213</v>
      </c>
      <c r="AI129" s="16" t="n">
        <v>3.97010511683213</v>
      </c>
      <c r="AJ129" s="16" t="n">
        <v>0.66925</v>
      </c>
      <c r="AK129" s="16" t="n">
        <v>1.20833333333333</v>
      </c>
      <c r="AL129" s="16" t="n">
        <v>0</v>
      </c>
      <c r="AM129" s="16" t="n">
        <v>0</v>
      </c>
      <c r="AN129" s="16" t="n">
        <v>732.094197736863</v>
      </c>
      <c r="AO129" s="16" t="n">
        <v>199.793552263137</v>
      </c>
      <c r="AP129" s="16" t="n">
        <v>94.0064477368626</v>
      </c>
      <c r="AQ129" s="14" t="n">
        <v>199.793552263137</v>
      </c>
      <c r="AR129" s="14" t="s">
        <v>372</v>
      </c>
      <c r="AS129" s="29"/>
      <c r="AT129" s="14" t="n">
        <v>179.755918853233</v>
      </c>
      <c r="AU129" s="17" t="n">
        <v>4.07271261167541</v>
      </c>
      <c r="AV129" s="17" t="n">
        <v>3.43036325464269</v>
      </c>
      <c r="AW129" s="16" t="n">
        <v>0</v>
      </c>
      <c r="AX129" s="14" t="s">
        <v>257</v>
      </c>
      <c r="AY129" s="14" t="s">
        <v>257</v>
      </c>
      <c r="AZ129" s="14" t="s">
        <v>373</v>
      </c>
      <c r="BA129" s="14" t="s">
        <v>259</v>
      </c>
      <c r="BB129" s="14" t="s">
        <v>418</v>
      </c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</row>
    <row r="130" customFormat="false" ht="15" hidden="false" customHeight="false" outlineLevel="0" collapsed="false">
      <c r="C130" s="14" t="s">
        <v>268</v>
      </c>
      <c r="D130" s="14" t="s">
        <v>269</v>
      </c>
      <c r="E130" s="14" t="s">
        <v>319</v>
      </c>
      <c r="F130" s="14" t="s">
        <v>253</v>
      </c>
      <c r="G130" s="29" t="n">
        <v>46569</v>
      </c>
      <c r="H130" s="29" t="n">
        <v>46599</v>
      </c>
      <c r="I130" s="14" t="s">
        <v>302</v>
      </c>
      <c r="J130" s="14" t="s">
        <v>271</v>
      </c>
      <c r="K130" s="14" t="n">
        <v>31</v>
      </c>
      <c r="L130" s="16" t="n">
        <v>239.576334484055</v>
      </c>
      <c r="M130" s="30" t="n">
        <v>27.6901735836919</v>
      </c>
      <c r="N130" s="16" t="n">
        <v>28.2366430714026</v>
      </c>
      <c r="O130" s="16" t="n">
        <v>-9.29283791267971</v>
      </c>
      <c r="P130" s="16" t="n">
        <v>-3.68760301265655</v>
      </c>
      <c r="Q130" s="16" t="n">
        <v>8.16808396689105</v>
      </c>
      <c r="R130" s="16" t="n">
        <v>-8.38517170694193</v>
      </c>
      <c r="S130" s="16" t="n">
        <v>0</v>
      </c>
      <c r="T130" s="16" t="n">
        <v>24.3319523186952</v>
      </c>
      <c r="U130" s="16" t="n">
        <v>25</v>
      </c>
      <c r="V130" s="16" t="n">
        <v>25</v>
      </c>
      <c r="W130" s="16" t="n">
        <v>575.46875</v>
      </c>
      <c r="X130" s="16" t="n">
        <v>11.90625</v>
      </c>
      <c r="Y130" s="16" t="n">
        <v>11.90625</v>
      </c>
      <c r="Z130" s="16" t="n">
        <v>0</v>
      </c>
      <c r="AA130" s="16" t="n">
        <v>0</v>
      </c>
      <c r="AB130" s="16" t="n">
        <v>0</v>
      </c>
      <c r="AC130" s="16" t="n">
        <v>563.5625</v>
      </c>
      <c r="AD130" s="16" t="n">
        <v>94.0064477368626</v>
      </c>
      <c r="AE130" s="16" t="n">
        <v>0</v>
      </c>
      <c r="AF130" s="16" t="n">
        <v>6.65848288765894</v>
      </c>
      <c r="AG130" s="16" t="n">
        <v>87.3479648492036</v>
      </c>
      <c r="AH130" s="16" t="n">
        <v>3.88963609770293</v>
      </c>
      <c r="AI130" s="16" t="n">
        <v>3.88963609770293</v>
      </c>
      <c r="AJ130" s="16" t="n">
        <v>0.66925</v>
      </c>
      <c r="AK130" s="16" t="n">
        <v>1.20833333333333</v>
      </c>
      <c r="AL130" s="16" t="n">
        <v>0</v>
      </c>
      <c r="AM130" s="16" t="n">
        <v>0</v>
      </c>
      <c r="AN130" s="16" t="n">
        <v>713.529464849204</v>
      </c>
      <c r="AO130" s="16" t="n">
        <v>206.452035150796</v>
      </c>
      <c r="AP130" s="16" t="n">
        <v>87.3479648492036</v>
      </c>
      <c r="AQ130" s="14" t="n">
        <v>206.452035150796</v>
      </c>
      <c r="AR130" s="14" t="s">
        <v>372</v>
      </c>
      <c r="AS130" s="29"/>
      <c r="AT130" s="14" t="n">
        <v>183.019097748925</v>
      </c>
      <c r="AU130" s="17" t="n">
        <v>3.89866125243422</v>
      </c>
      <c r="AV130" s="17" t="n">
        <v>3.53860176709961</v>
      </c>
      <c r="AW130" s="16" t="n">
        <v>0</v>
      </c>
      <c r="AX130" s="14" t="s">
        <v>257</v>
      </c>
      <c r="AY130" s="14" t="s">
        <v>257</v>
      </c>
      <c r="AZ130" s="14" t="s">
        <v>373</v>
      </c>
      <c r="BA130" s="14" t="s">
        <v>259</v>
      </c>
      <c r="BB130" s="14" t="s">
        <v>419</v>
      </c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</row>
    <row r="131" customFormat="false" ht="15" hidden="false" customHeight="false" outlineLevel="0" collapsed="false">
      <c r="C131" s="14" t="s">
        <v>268</v>
      </c>
      <c r="D131" s="14" t="s">
        <v>269</v>
      </c>
      <c r="E131" s="14" t="s">
        <v>321</v>
      </c>
      <c r="F131" s="14" t="s">
        <v>253</v>
      </c>
      <c r="G131" s="29" t="n">
        <v>46600</v>
      </c>
      <c r="H131" s="29" t="n">
        <v>46630</v>
      </c>
      <c r="I131" s="14" t="s">
        <v>302</v>
      </c>
      <c r="J131" s="14" t="s">
        <v>288</v>
      </c>
      <c r="K131" s="14" t="n">
        <v>31</v>
      </c>
      <c r="L131" s="16" t="n">
        <v>96.3723817002108</v>
      </c>
      <c r="M131" s="30" t="n">
        <v>27.9159174302794</v>
      </c>
      <c r="N131" s="16" t="n">
        <v>12.0579364515424</v>
      </c>
      <c r="O131" s="16" t="n">
        <v>-9.19101077622747</v>
      </c>
      <c r="P131" s="16" t="n">
        <v>-1.65823558521852</v>
      </c>
      <c r="Q131" s="16" t="n">
        <v>3.12489942847702</v>
      </c>
      <c r="R131" s="16" t="n">
        <v>-3.37303335950738</v>
      </c>
      <c r="S131" s="16" t="n">
        <v>0</v>
      </c>
      <c r="T131" s="16" t="n">
        <v>10.1515669352935</v>
      </c>
      <c r="U131" s="16" t="n">
        <v>25</v>
      </c>
      <c r="V131" s="16" t="n">
        <v>25</v>
      </c>
      <c r="W131" s="16" t="n">
        <v>563.5625</v>
      </c>
      <c r="X131" s="16" t="n">
        <v>0</v>
      </c>
      <c r="Y131" s="16" t="n">
        <v>0</v>
      </c>
      <c r="Z131" s="16" t="n">
        <v>0</v>
      </c>
      <c r="AA131" s="16" t="n">
        <v>0</v>
      </c>
      <c r="AB131" s="16" t="n">
        <v>0</v>
      </c>
      <c r="AC131" s="16" t="n">
        <v>563.5625</v>
      </c>
      <c r="AD131" s="16" t="n">
        <v>87.3479648492036</v>
      </c>
      <c r="AE131" s="16" t="n">
        <v>0</v>
      </c>
      <c r="AF131" s="16" t="n">
        <v>4.58767911488445</v>
      </c>
      <c r="AG131" s="16" t="n">
        <v>82.7602857343192</v>
      </c>
      <c r="AH131" s="16" t="n">
        <v>3.68630448707569</v>
      </c>
      <c r="AI131" s="16" t="n">
        <v>3.68630448707569</v>
      </c>
      <c r="AJ131" s="16" t="n">
        <v>0.66925</v>
      </c>
      <c r="AK131" s="16" t="n">
        <v>1.20833333333333</v>
      </c>
      <c r="AL131" s="16" t="n">
        <v>0</v>
      </c>
      <c r="AM131" s="16" t="n">
        <v>0</v>
      </c>
      <c r="AN131" s="16" t="n">
        <v>708.941785734319</v>
      </c>
      <c r="AO131" s="16" t="n">
        <v>211.039714265681</v>
      </c>
      <c r="AP131" s="16" t="n">
        <v>82.7602857343192</v>
      </c>
      <c r="AQ131" s="14" t="n">
        <v>211.039714265681</v>
      </c>
      <c r="AR131" s="14" t="s">
        <v>372</v>
      </c>
      <c r="AS131" s="29"/>
      <c r="AT131" s="14" t="n">
        <v>184.990329246214</v>
      </c>
      <c r="AU131" s="17" t="n">
        <v>3.83231809264337</v>
      </c>
      <c r="AV131" s="17" t="n">
        <v>3.63683745236145</v>
      </c>
      <c r="AW131" s="16" t="n">
        <v>0</v>
      </c>
      <c r="AX131" s="14" t="s">
        <v>257</v>
      </c>
      <c r="AY131" s="14" t="s">
        <v>257</v>
      </c>
      <c r="AZ131" s="14" t="s">
        <v>373</v>
      </c>
      <c r="BA131" s="14" t="s">
        <v>259</v>
      </c>
      <c r="BB131" s="14" t="s">
        <v>420</v>
      </c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</row>
    <row r="132" customFormat="false" ht="15" hidden="false" customHeight="false" outlineLevel="0" collapsed="false">
      <c r="C132" s="14" t="s">
        <v>268</v>
      </c>
      <c r="D132" s="14" t="s">
        <v>269</v>
      </c>
      <c r="E132" s="14" t="s">
        <v>323</v>
      </c>
      <c r="F132" s="14" t="s">
        <v>253</v>
      </c>
      <c r="G132" s="29" t="n">
        <v>46631</v>
      </c>
      <c r="H132" s="29" t="n">
        <v>46660</v>
      </c>
      <c r="I132" s="14" t="s">
        <v>302</v>
      </c>
      <c r="J132" s="14" t="s">
        <v>288</v>
      </c>
      <c r="K132" s="14" t="n">
        <v>30</v>
      </c>
      <c r="L132" s="16" t="n">
        <v>144.558572550316</v>
      </c>
      <c r="M132" s="30" t="n">
        <v>27.9159174302794</v>
      </c>
      <c r="N132" s="16" t="n">
        <v>18.0869046773135</v>
      </c>
      <c r="O132" s="16" t="n">
        <v>-9.19101077622747</v>
      </c>
      <c r="P132" s="16" t="n">
        <v>-2.48735337782778</v>
      </c>
      <c r="Q132" s="16" t="n">
        <v>4.68734914271553</v>
      </c>
      <c r="R132" s="16" t="n">
        <v>-5.05955003926106</v>
      </c>
      <c r="S132" s="16" t="n">
        <v>0</v>
      </c>
      <c r="T132" s="16" t="n">
        <v>15.2273504029402</v>
      </c>
      <c r="U132" s="16" t="n">
        <v>25</v>
      </c>
      <c r="V132" s="16" t="n">
        <v>25</v>
      </c>
      <c r="W132" s="16" t="n">
        <v>563.5625</v>
      </c>
      <c r="X132" s="16" t="n">
        <v>0</v>
      </c>
      <c r="Y132" s="16" t="n">
        <v>0</v>
      </c>
      <c r="Z132" s="16" t="n">
        <v>0</v>
      </c>
      <c r="AA132" s="16" t="n">
        <v>0</v>
      </c>
      <c r="AB132" s="16" t="n">
        <v>0</v>
      </c>
      <c r="AC132" s="16" t="n">
        <v>563.5625</v>
      </c>
      <c r="AD132" s="16" t="n">
        <v>82.7602857343192</v>
      </c>
      <c r="AE132" s="16" t="n">
        <v>0</v>
      </c>
      <c r="AF132" s="16" t="n">
        <v>9.70407498376056</v>
      </c>
      <c r="AG132" s="16" t="n">
        <v>73.0562107505586</v>
      </c>
      <c r="AH132" s="16" t="n">
        <v>3.64569208584632</v>
      </c>
      <c r="AI132" s="16" t="n">
        <v>3.64569208584632</v>
      </c>
      <c r="AJ132" s="16" t="n">
        <v>0.66925</v>
      </c>
      <c r="AK132" s="16" t="n">
        <v>1.20833333333333</v>
      </c>
      <c r="AL132" s="16" t="n">
        <v>0</v>
      </c>
      <c r="AM132" s="16" t="n">
        <v>0</v>
      </c>
      <c r="AN132" s="16" t="n">
        <v>699.237710750559</v>
      </c>
      <c r="AO132" s="16" t="n">
        <v>220.743789249441</v>
      </c>
      <c r="AP132" s="16" t="n">
        <v>73.0562107505586</v>
      </c>
      <c r="AQ132" s="14" t="n">
        <v>220.743789249441</v>
      </c>
      <c r="AR132" s="14" t="s">
        <v>372</v>
      </c>
      <c r="AS132" s="29"/>
      <c r="AT132" s="14" t="n">
        <v>187.947176492147</v>
      </c>
      <c r="AU132" s="17" t="n">
        <v>3.72039486733004</v>
      </c>
      <c r="AV132" s="17" t="n">
        <v>3.76034114435211</v>
      </c>
      <c r="AW132" s="16" t="n">
        <v>0</v>
      </c>
      <c r="AX132" s="14" t="s">
        <v>257</v>
      </c>
      <c r="AY132" s="14" t="s">
        <v>257</v>
      </c>
      <c r="AZ132" s="14" t="s">
        <v>373</v>
      </c>
      <c r="BA132" s="14" t="s">
        <v>259</v>
      </c>
      <c r="BB132" s="14" t="s">
        <v>421</v>
      </c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</row>
    <row r="133" customFormat="false" ht="15" hidden="false" customHeight="false" outlineLevel="0" collapsed="false">
      <c r="C133" s="14" t="s">
        <v>268</v>
      </c>
      <c r="D133" s="14" t="s">
        <v>269</v>
      </c>
      <c r="E133" s="14" t="s">
        <v>325</v>
      </c>
      <c r="F133" s="14" t="s">
        <v>253</v>
      </c>
      <c r="G133" s="29" t="n">
        <v>46661</v>
      </c>
      <c r="H133" s="29" t="n">
        <v>46691</v>
      </c>
      <c r="I133" s="14" t="s">
        <v>302</v>
      </c>
      <c r="J133" s="14" t="s">
        <v>288</v>
      </c>
      <c r="K133" s="14" t="n">
        <v>31</v>
      </c>
      <c r="L133" s="16" t="n">
        <v>240.930954250527</v>
      </c>
      <c r="M133" s="30" t="n">
        <v>27.9159174302794</v>
      </c>
      <c r="N133" s="16" t="n">
        <v>30.1448411288559</v>
      </c>
      <c r="O133" s="16" t="n">
        <v>-9.19101077622747</v>
      </c>
      <c r="P133" s="16" t="n">
        <v>-4.14558896304631</v>
      </c>
      <c r="Q133" s="16" t="n">
        <v>7.81224857119256</v>
      </c>
      <c r="R133" s="16" t="n">
        <v>-8.43258339876844</v>
      </c>
      <c r="S133" s="16" t="n">
        <v>0</v>
      </c>
      <c r="T133" s="16" t="n">
        <v>25.3789173382337</v>
      </c>
      <c r="U133" s="16" t="n">
        <v>25</v>
      </c>
      <c r="V133" s="16" t="n">
        <v>25</v>
      </c>
      <c r="W133" s="16" t="n">
        <v>563.5625</v>
      </c>
      <c r="X133" s="16" t="n">
        <v>11.90625</v>
      </c>
      <c r="Y133" s="16" t="n">
        <v>11.90625</v>
      </c>
      <c r="Z133" s="16" t="n">
        <v>0</v>
      </c>
      <c r="AA133" s="16" t="n">
        <v>0</v>
      </c>
      <c r="AB133" s="16" t="n">
        <v>0</v>
      </c>
      <c r="AC133" s="16" t="n">
        <v>551.65625</v>
      </c>
      <c r="AD133" s="16" t="n">
        <v>73.0562107505586</v>
      </c>
      <c r="AE133" s="16" t="n">
        <v>0</v>
      </c>
      <c r="AF133" s="16" t="n">
        <v>8.03363015824956</v>
      </c>
      <c r="AG133" s="16" t="n">
        <v>65.0225805923091</v>
      </c>
      <c r="AH133" s="16" t="n">
        <v>3.5614538466508</v>
      </c>
      <c r="AI133" s="16" t="n">
        <v>3.5614538466508</v>
      </c>
      <c r="AJ133" s="16" t="n">
        <v>0.66925</v>
      </c>
      <c r="AK133" s="16" t="n">
        <v>1.20833333333333</v>
      </c>
      <c r="AL133" s="16" t="n">
        <v>0</v>
      </c>
      <c r="AM133" s="16" t="n">
        <v>0</v>
      </c>
      <c r="AN133" s="16" t="n">
        <v>679.297830592309</v>
      </c>
      <c r="AO133" s="16" t="n">
        <v>228.777419407691</v>
      </c>
      <c r="AP133" s="16" t="n">
        <v>65.0225805923091</v>
      </c>
      <c r="AQ133" s="14" t="n">
        <v>228.777419407691</v>
      </c>
      <c r="AR133" s="14" t="s">
        <v>372</v>
      </c>
      <c r="AS133" s="29"/>
      <c r="AT133" s="14" t="n">
        <v>192.87525523537</v>
      </c>
      <c r="AU133" s="17" t="n">
        <v>3.5219542795334</v>
      </c>
      <c r="AV133" s="17" t="n">
        <v>3.93177038534536</v>
      </c>
      <c r="AW133" s="16" t="n">
        <v>0</v>
      </c>
      <c r="AX133" s="14" t="s">
        <v>257</v>
      </c>
      <c r="AY133" s="14" t="s">
        <v>257</v>
      </c>
      <c r="AZ133" s="14" t="s">
        <v>258</v>
      </c>
      <c r="BA133" s="14" t="s">
        <v>259</v>
      </c>
      <c r="BB133" s="14" t="s">
        <v>422</v>
      </c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</row>
    <row r="134" customFormat="false" ht="15" hidden="false" customHeight="false" outlineLevel="0" collapsed="false">
      <c r="C134" s="14" t="s">
        <v>268</v>
      </c>
      <c r="D134" s="14" t="s">
        <v>269</v>
      </c>
      <c r="E134" s="14" t="s">
        <v>327</v>
      </c>
      <c r="F134" s="14" t="s">
        <v>253</v>
      </c>
      <c r="G134" s="29" t="n">
        <v>46692</v>
      </c>
      <c r="H134" s="29" t="n">
        <v>46721</v>
      </c>
      <c r="I134" s="14" t="s">
        <v>328</v>
      </c>
      <c r="J134" s="14" t="s">
        <v>303</v>
      </c>
      <c r="K134" s="14" t="n">
        <v>30</v>
      </c>
      <c r="L134" s="16" t="n">
        <v>133.337999150025</v>
      </c>
      <c r="M134" s="30" t="n">
        <v>22.9096754759419</v>
      </c>
      <c r="N134" s="16" t="n">
        <v>10.6744741600661</v>
      </c>
      <c r="O134" s="16" t="n">
        <v>-7.50586264815323</v>
      </c>
      <c r="P134" s="16" t="n">
        <v>-0.792152877978208</v>
      </c>
      <c r="Q134" s="16" t="n">
        <v>5.21542270969534</v>
      </c>
      <c r="R134" s="16" t="n">
        <v>-4.66682997025089</v>
      </c>
      <c r="S134" s="16" t="n">
        <v>0</v>
      </c>
      <c r="T134" s="16" t="n">
        <v>10.4309140215323</v>
      </c>
      <c r="U134" s="16" t="n">
        <v>25</v>
      </c>
      <c r="V134" s="16" t="n">
        <v>25</v>
      </c>
      <c r="W134" s="16" t="n">
        <v>551.65625</v>
      </c>
      <c r="X134" s="16" t="n">
        <v>0</v>
      </c>
      <c r="Y134" s="16" t="n">
        <v>0</v>
      </c>
      <c r="Z134" s="16" t="n">
        <v>0</v>
      </c>
      <c r="AA134" s="16" t="n">
        <v>0</v>
      </c>
      <c r="AB134" s="16" t="n">
        <v>0</v>
      </c>
      <c r="AC134" s="16" t="n">
        <v>551.65625</v>
      </c>
      <c r="AD134" s="16" t="n">
        <v>65.0225805923091</v>
      </c>
      <c r="AE134" s="16" t="n">
        <v>0</v>
      </c>
      <c r="AF134" s="16" t="n">
        <v>5.29158313286482</v>
      </c>
      <c r="AG134" s="16" t="n">
        <v>59.7309974594442</v>
      </c>
      <c r="AH134" s="16" t="n">
        <v>3.36183088866749</v>
      </c>
      <c r="AI134" s="16" t="n">
        <v>3.36183088866749</v>
      </c>
      <c r="AJ134" s="16" t="n">
        <v>0.569166666666667</v>
      </c>
      <c r="AK134" s="16" t="n">
        <v>1.20833333333333</v>
      </c>
      <c r="AL134" s="16" t="n">
        <v>0</v>
      </c>
      <c r="AM134" s="16" t="n">
        <v>0</v>
      </c>
      <c r="AN134" s="16" t="n">
        <v>674.006247459444</v>
      </c>
      <c r="AO134" s="16" t="n">
        <v>234.069002540556</v>
      </c>
      <c r="AP134" s="16" t="n">
        <v>59.7309974594442</v>
      </c>
      <c r="AQ134" s="14" t="n">
        <v>234.069002540556</v>
      </c>
      <c r="AR134" s="14" t="s">
        <v>372</v>
      </c>
      <c r="AS134" s="29"/>
      <c r="AT134" s="14" t="n">
        <v>199.057289431103</v>
      </c>
      <c r="AU134" s="17" t="n">
        <v>3.38599128615548</v>
      </c>
      <c r="AV134" s="17" t="n">
        <v>4.151335075462</v>
      </c>
      <c r="AW134" s="16" t="n">
        <v>0</v>
      </c>
      <c r="AX134" s="14" t="s">
        <v>257</v>
      </c>
      <c r="AY134" s="14" t="s">
        <v>257</v>
      </c>
      <c r="AZ134" s="14" t="s">
        <v>373</v>
      </c>
      <c r="BA134" s="14" t="s">
        <v>259</v>
      </c>
      <c r="BB134" s="14" t="s">
        <v>423</v>
      </c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</row>
    <row r="135" customFormat="false" ht="15" hidden="false" customHeight="false" outlineLevel="0" collapsed="false">
      <c r="C135" s="14" t="s">
        <v>268</v>
      </c>
      <c r="D135" s="14" t="s">
        <v>269</v>
      </c>
      <c r="E135" s="14" t="s">
        <v>330</v>
      </c>
      <c r="F135" s="14" t="s">
        <v>253</v>
      </c>
      <c r="G135" s="29" t="n">
        <v>46722</v>
      </c>
      <c r="H135" s="29" t="n">
        <v>46752</v>
      </c>
      <c r="I135" s="14" t="s">
        <v>328</v>
      </c>
      <c r="J135" s="14" t="s">
        <v>303</v>
      </c>
      <c r="K135" s="14" t="n">
        <v>31</v>
      </c>
      <c r="L135" s="16" t="n">
        <v>133.337999150025</v>
      </c>
      <c r="M135" s="30" t="n">
        <v>22.9096754759419</v>
      </c>
      <c r="N135" s="16" t="n">
        <v>10.6744741600661</v>
      </c>
      <c r="O135" s="16" t="n">
        <v>-7.50586264815323</v>
      </c>
      <c r="P135" s="16" t="n">
        <v>-0.792152877978208</v>
      </c>
      <c r="Q135" s="16" t="n">
        <v>5.21542270969534</v>
      </c>
      <c r="R135" s="16" t="n">
        <v>-4.66682997025089</v>
      </c>
      <c r="S135" s="16" t="n">
        <v>0</v>
      </c>
      <c r="T135" s="16" t="n">
        <v>10.4309140215323</v>
      </c>
      <c r="U135" s="16" t="n">
        <v>25</v>
      </c>
      <c r="V135" s="16" t="n">
        <v>25</v>
      </c>
      <c r="W135" s="16" t="n">
        <v>551.65625</v>
      </c>
      <c r="X135" s="16" t="n">
        <v>0</v>
      </c>
      <c r="Y135" s="16" t="n">
        <v>0</v>
      </c>
      <c r="Z135" s="16" t="n">
        <v>0</v>
      </c>
      <c r="AA135" s="16" t="n">
        <v>0</v>
      </c>
      <c r="AB135" s="16" t="n">
        <v>0</v>
      </c>
      <c r="AC135" s="16" t="n">
        <v>551.65625</v>
      </c>
      <c r="AD135" s="16" t="n">
        <v>59.7309974594442</v>
      </c>
      <c r="AE135" s="16" t="n">
        <v>0</v>
      </c>
      <c r="AF135" s="16" t="n">
        <v>5.32063407747813</v>
      </c>
      <c r="AG135" s="16" t="n">
        <v>54.4103633819661</v>
      </c>
      <c r="AH135" s="16" t="n">
        <v>3.33277994405418</v>
      </c>
      <c r="AI135" s="16" t="n">
        <v>3.33277994405418</v>
      </c>
      <c r="AJ135" s="16" t="n">
        <v>0.569166666666667</v>
      </c>
      <c r="AK135" s="16" t="n">
        <v>1.20833333333333</v>
      </c>
      <c r="AL135" s="16" t="n">
        <v>0</v>
      </c>
      <c r="AM135" s="16" t="n">
        <v>0</v>
      </c>
      <c r="AN135" s="16" t="n">
        <v>668.685613381966</v>
      </c>
      <c r="AO135" s="16" t="n">
        <v>239.389636618034</v>
      </c>
      <c r="AP135" s="16" t="n">
        <v>54.4103633819661</v>
      </c>
      <c r="AQ135" s="14" t="n">
        <v>239.389636618034</v>
      </c>
      <c r="AR135" s="14" t="s">
        <v>372</v>
      </c>
      <c r="AS135" s="29"/>
      <c r="AT135" s="14" t="n">
        <v>202.99310364467</v>
      </c>
      <c r="AU135" s="17" t="n">
        <v>3.29412970872384</v>
      </c>
      <c r="AV135" s="17" t="n">
        <v>4.33779641316923</v>
      </c>
      <c r="AW135" s="16" t="n">
        <v>0</v>
      </c>
      <c r="AX135" s="14" t="s">
        <v>257</v>
      </c>
      <c r="AY135" s="14" t="s">
        <v>257</v>
      </c>
      <c r="AZ135" s="14" t="s">
        <v>258</v>
      </c>
      <c r="BA135" s="14" t="s">
        <v>259</v>
      </c>
      <c r="BB135" s="14" t="s">
        <v>424</v>
      </c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</row>
    <row r="136" customFormat="false" ht="15" hidden="false" customHeight="false" outlineLevel="0" collapsed="false">
      <c r="C136" s="14" t="s">
        <v>268</v>
      </c>
      <c r="D136" s="14" t="s">
        <v>269</v>
      </c>
      <c r="E136" s="14" t="s">
        <v>332</v>
      </c>
      <c r="F136" s="14" t="s">
        <v>253</v>
      </c>
      <c r="G136" s="29" t="n">
        <v>46753</v>
      </c>
      <c r="H136" s="29" t="n">
        <v>46783</v>
      </c>
      <c r="I136" s="14" t="s">
        <v>328</v>
      </c>
      <c r="J136" s="14" t="s">
        <v>303</v>
      </c>
      <c r="K136" s="14" t="n">
        <v>31</v>
      </c>
      <c r="L136" s="16" t="n">
        <v>133.337999150025</v>
      </c>
      <c r="M136" s="30" t="n">
        <v>22.9096754759419</v>
      </c>
      <c r="N136" s="16" t="n">
        <v>10.6744741600661</v>
      </c>
      <c r="O136" s="16" t="n">
        <v>-7.50586264815323</v>
      </c>
      <c r="P136" s="16" t="n">
        <v>-0.792152877978208</v>
      </c>
      <c r="Q136" s="16" t="n">
        <v>5.21542270969534</v>
      </c>
      <c r="R136" s="16" t="n">
        <v>-4.66682997025089</v>
      </c>
      <c r="S136" s="16" t="n">
        <v>0</v>
      </c>
      <c r="T136" s="16" t="n">
        <v>10.4309140215323</v>
      </c>
      <c r="U136" s="16" t="n">
        <v>25</v>
      </c>
      <c r="V136" s="16" t="n">
        <v>25</v>
      </c>
      <c r="W136" s="16" t="n">
        <v>551.65625</v>
      </c>
      <c r="X136" s="16" t="n">
        <v>11.90625</v>
      </c>
      <c r="Y136" s="16" t="n">
        <v>11.90625</v>
      </c>
      <c r="Z136" s="16" t="n">
        <v>0</v>
      </c>
      <c r="AA136" s="16" t="n">
        <v>0</v>
      </c>
      <c r="AB136" s="16" t="n">
        <v>0</v>
      </c>
      <c r="AC136" s="16" t="n">
        <v>539.75</v>
      </c>
      <c r="AD136" s="16" t="n">
        <v>54.4103633819661</v>
      </c>
      <c r="AE136" s="16" t="n">
        <v>6.55640548737965</v>
      </c>
      <c r="AF136" s="16" t="n">
        <v>0</v>
      </c>
      <c r="AG136" s="16" t="n">
        <v>60.9667688693458</v>
      </c>
      <c r="AH136" s="16" t="n">
        <v>3.30356950891196</v>
      </c>
      <c r="AI136" s="16" t="n">
        <v>3.30356950891196</v>
      </c>
      <c r="AJ136" s="16" t="n">
        <v>0.569166666666667</v>
      </c>
      <c r="AK136" s="16" t="n">
        <v>1.20833333333333</v>
      </c>
      <c r="AL136" s="16" t="n">
        <v>0</v>
      </c>
      <c r="AM136" s="16" t="n">
        <v>0</v>
      </c>
      <c r="AN136" s="16" t="n">
        <v>663.335768869346</v>
      </c>
      <c r="AO136" s="16" t="n">
        <v>232.833231130654</v>
      </c>
      <c r="AP136" s="16" t="n">
        <v>60.9667688693458</v>
      </c>
      <c r="AQ136" s="14" t="n">
        <v>232.833231130654</v>
      </c>
      <c r="AR136" s="14" t="s">
        <v>372</v>
      </c>
      <c r="AS136" s="29"/>
      <c r="AT136" s="14" t="n">
        <v>202.436477893904</v>
      </c>
      <c r="AU136" s="17" t="n">
        <v>3.27676007689186</v>
      </c>
      <c r="AV136" s="17" t="n">
        <v>4.438784102872</v>
      </c>
      <c r="AW136" s="16" t="n">
        <v>0</v>
      </c>
      <c r="AX136" s="14" t="s">
        <v>257</v>
      </c>
      <c r="AY136" s="14" t="s">
        <v>257</v>
      </c>
      <c r="AZ136" s="14" t="s">
        <v>258</v>
      </c>
      <c r="BA136" s="14" t="s">
        <v>259</v>
      </c>
      <c r="BB136" s="14" t="s">
        <v>425</v>
      </c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</row>
    <row r="137" customFormat="false" ht="15" hidden="false" customHeight="false" outlineLevel="0" collapsed="false">
      <c r="C137" s="14" t="s">
        <v>268</v>
      </c>
      <c r="D137" s="14" t="s">
        <v>269</v>
      </c>
      <c r="E137" s="14" t="s">
        <v>334</v>
      </c>
      <c r="F137" s="14" t="s">
        <v>335</v>
      </c>
      <c r="G137" s="29" t="n">
        <v>46784</v>
      </c>
      <c r="H137" s="29" t="n">
        <v>46873</v>
      </c>
      <c r="I137" s="14" t="s">
        <v>328</v>
      </c>
      <c r="J137" s="14" t="s">
        <v>255</v>
      </c>
      <c r="K137" s="14" t="n">
        <v>90</v>
      </c>
      <c r="L137" s="16" t="n">
        <v>452.444064998389</v>
      </c>
      <c r="M137" s="30" t="n">
        <v>28.8693217195837</v>
      </c>
      <c r="N137" s="16" t="n">
        <v>63.1848168341226</v>
      </c>
      <c r="O137" s="16" t="n">
        <v>-25.4689813068893</v>
      </c>
      <c r="P137" s="16" t="n">
        <v>-9.42895888180832</v>
      </c>
      <c r="Q137" s="16" t="n">
        <v>-2.58122943313587</v>
      </c>
      <c r="R137" s="16" t="n">
        <v>-15.8355422749436</v>
      </c>
      <c r="S137" s="16" t="n">
        <v>0</v>
      </c>
      <c r="T137" s="16" t="n">
        <v>35.3390862442348</v>
      </c>
      <c r="U137" s="16" t="n">
        <v>25</v>
      </c>
      <c r="V137" s="16" t="n">
        <v>25</v>
      </c>
      <c r="W137" s="16" t="n">
        <v>539.75</v>
      </c>
      <c r="X137" s="16" t="n">
        <v>11.90625</v>
      </c>
      <c r="Y137" s="16" t="n">
        <v>11.90625</v>
      </c>
      <c r="Z137" s="16" t="n">
        <v>0</v>
      </c>
      <c r="AA137" s="16" t="n">
        <v>0</v>
      </c>
      <c r="AB137" s="16" t="n">
        <v>0</v>
      </c>
      <c r="AC137" s="16" t="n">
        <v>527.84375</v>
      </c>
      <c r="AD137" s="16" t="n">
        <v>60.9667688693458</v>
      </c>
      <c r="AE137" s="16" t="n">
        <v>5.10043352592893</v>
      </c>
      <c r="AF137" s="16" t="n">
        <v>13.5003554862574</v>
      </c>
      <c r="AG137" s="16" t="n">
        <v>52.5668469090173</v>
      </c>
      <c r="AH137" s="16" t="n">
        <v>9.70041428390636</v>
      </c>
      <c r="AI137" s="16" t="n">
        <v>9.70041428390636</v>
      </c>
      <c r="AJ137" s="16" t="n">
        <v>1.7075</v>
      </c>
      <c r="AK137" s="16" t="n">
        <v>3.625</v>
      </c>
      <c r="AL137" s="16" t="n">
        <v>0</v>
      </c>
      <c r="AM137" s="16" t="n">
        <v>0</v>
      </c>
      <c r="AN137" s="16" t="n">
        <v>643.029596909017</v>
      </c>
      <c r="AO137" s="16" t="n">
        <v>239.564930262211</v>
      </c>
      <c r="AP137" s="16" t="n">
        <v>54.2350697377889</v>
      </c>
      <c r="AQ137" s="14" t="n">
        <v>241.233153090983</v>
      </c>
      <c r="AR137" s="14" t="s">
        <v>372</v>
      </c>
      <c r="AS137" s="29"/>
      <c r="AT137" s="14" t="n">
        <v>211.971207714838</v>
      </c>
      <c r="AU137" s="17" t="n">
        <v>3.03357047327898</v>
      </c>
      <c r="AV137" s="17" t="n">
        <v>4.99237314465622</v>
      </c>
      <c r="AW137" s="16" t="n">
        <v>0</v>
      </c>
      <c r="AX137" s="14" t="s">
        <v>257</v>
      </c>
      <c r="AY137" s="14" t="s">
        <v>257</v>
      </c>
      <c r="AZ137" s="14" t="s">
        <v>258</v>
      </c>
      <c r="BA137" s="14" t="s">
        <v>259</v>
      </c>
      <c r="BB137" s="14" t="s">
        <v>426</v>
      </c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</row>
    <row r="138" customFormat="false" ht="15" hidden="false" customHeight="false" outlineLevel="0" collapsed="false">
      <c r="C138" s="14" t="s">
        <v>268</v>
      </c>
      <c r="D138" s="14" t="s">
        <v>269</v>
      </c>
      <c r="E138" s="14" t="s">
        <v>337</v>
      </c>
      <c r="F138" s="14" t="s">
        <v>335</v>
      </c>
      <c r="G138" s="29" t="n">
        <v>46874</v>
      </c>
      <c r="H138" s="29" t="n">
        <v>46965</v>
      </c>
      <c r="I138" s="14" t="s">
        <v>328</v>
      </c>
      <c r="J138" s="14" t="s">
        <v>271</v>
      </c>
      <c r="K138" s="14" t="n">
        <v>92</v>
      </c>
      <c r="L138" s="16" t="n">
        <v>495.235855453629</v>
      </c>
      <c r="M138" s="30" t="n">
        <v>27.6901735836919</v>
      </c>
      <c r="N138" s="16" t="n">
        <v>63.3212208911272</v>
      </c>
      <c r="O138" s="16" t="n">
        <v>-27.8778167751957</v>
      </c>
      <c r="P138" s="16" t="n">
        <v>-8.86085102898288</v>
      </c>
      <c r="Q138" s="16" t="n">
        <v>-1.89394252465263</v>
      </c>
      <c r="R138" s="16" t="n">
        <v>-17.333254940877</v>
      </c>
      <c r="S138" s="16" t="n">
        <v>0</v>
      </c>
      <c r="T138" s="16" t="n">
        <v>35.2331723966147</v>
      </c>
      <c r="U138" s="16" t="n">
        <v>25</v>
      </c>
      <c r="V138" s="16" t="n">
        <v>25</v>
      </c>
      <c r="W138" s="16" t="n">
        <v>527.84375</v>
      </c>
      <c r="X138" s="16" t="n">
        <v>11.90625</v>
      </c>
      <c r="Y138" s="16" t="n">
        <v>11.90625</v>
      </c>
      <c r="Z138" s="16" t="n">
        <v>0</v>
      </c>
      <c r="AA138" s="16" t="n">
        <v>0</v>
      </c>
      <c r="AB138" s="16" t="n">
        <v>0</v>
      </c>
      <c r="AC138" s="16" t="n">
        <v>515.9375</v>
      </c>
      <c r="AD138" s="16" t="n">
        <v>52.5668469090173</v>
      </c>
      <c r="AE138" s="16" t="n">
        <v>5.02351592619442</v>
      </c>
      <c r="AF138" s="16" t="n">
        <v>13.65293305627</v>
      </c>
      <c r="AG138" s="16" t="n">
        <v>43.9374297789418</v>
      </c>
      <c r="AH138" s="16" t="n">
        <v>9.3650052665391</v>
      </c>
      <c r="AI138" s="16" t="n">
        <v>9.3650052665391</v>
      </c>
      <c r="AJ138" s="16" t="n">
        <v>1.7075</v>
      </c>
      <c r="AK138" s="16" t="n">
        <v>3.625</v>
      </c>
      <c r="AL138" s="16" t="n">
        <v>0</v>
      </c>
      <c r="AM138" s="16" t="n">
        <v>0</v>
      </c>
      <c r="AN138" s="16" t="n">
        <v>622.493929778942</v>
      </c>
      <c r="AO138" s="16" t="n">
        <v>248.040932166997</v>
      </c>
      <c r="AP138" s="16" t="n">
        <v>45.7590678330031</v>
      </c>
      <c r="AQ138" s="14" t="n">
        <v>249.862570221058</v>
      </c>
      <c r="AR138" s="14" t="s">
        <v>372</v>
      </c>
      <c r="AS138" s="29"/>
      <c r="AT138" s="14" t="n">
        <v>218.81914246316</v>
      </c>
      <c r="AU138" s="17" t="n">
        <v>2.84478735622385</v>
      </c>
      <c r="AV138" s="17" t="n">
        <v>5.47635875912867</v>
      </c>
      <c r="AW138" s="16" t="n">
        <v>0</v>
      </c>
      <c r="AX138" s="14" t="s">
        <v>257</v>
      </c>
      <c r="AY138" s="14" t="s">
        <v>257</v>
      </c>
      <c r="AZ138" s="14" t="s">
        <v>258</v>
      </c>
      <c r="BA138" s="14" t="s">
        <v>259</v>
      </c>
      <c r="BB138" s="14" t="s">
        <v>427</v>
      </c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</row>
    <row r="139" customFormat="false" ht="15" hidden="false" customHeight="false" outlineLevel="0" collapsed="false">
      <c r="C139" s="14" t="s">
        <v>268</v>
      </c>
      <c r="D139" s="14" t="s">
        <v>269</v>
      </c>
      <c r="E139" s="14" t="s">
        <v>339</v>
      </c>
      <c r="F139" s="14" t="s">
        <v>335</v>
      </c>
      <c r="G139" s="29" t="n">
        <v>46966</v>
      </c>
      <c r="H139" s="29" t="n">
        <v>47057</v>
      </c>
      <c r="I139" s="14" t="s">
        <v>328</v>
      </c>
      <c r="J139" s="14" t="s">
        <v>288</v>
      </c>
      <c r="K139" s="14" t="n">
        <v>92</v>
      </c>
      <c r="L139" s="16" t="n">
        <v>489.809262468454</v>
      </c>
      <c r="M139" s="30" t="n">
        <v>27.9159174302794</v>
      </c>
      <c r="N139" s="16" t="n">
        <v>63.7330869889932</v>
      </c>
      <c r="O139" s="16" t="n">
        <v>-27.5723430028742</v>
      </c>
      <c r="P139" s="16" t="n">
        <v>-9.04018599652975</v>
      </c>
      <c r="Q139" s="16" t="n">
        <v>-0.929886228966411</v>
      </c>
      <c r="R139" s="16" t="n">
        <v>-17.1433241863959</v>
      </c>
      <c r="S139" s="16" t="n">
        <v>0</v>
      </c>
      <c r="T139" s="16" t="n">
        <v>36.6196905771011</v>
      </c>
      <c r="U139" s="16" t="n">
        <v>25</v>
      </c>
      <c r="V139" s="16" t="n">
        <v>25</v>
      </c>
      <c r="W139" s="16" t="n">
        <v>515.9375</v>
      </c>
      <c r="X139" s="16" t="n">
        <v>11.90625</v>
      </c>
      <c r="Y139" s="16" t="n">
        <v>11.90625</v>
      </c>
      <c r="Z139" s="16" t="n">
        <v>0</v>
      </c>
      <c r="AA139" s="16" t="n">
        <v>0</v>
      </c>
      <c r="AB139" s="16" t="n">
        <v>0</v>
      </c>
      <c r="AC139" s="16" t="n">
        <v>504.03125</v>
      </c>
      <c r="AD139" s="16" t="n">
        <v>43.9374297789418</v>
      </c>
      <c r="AE139" s="16" t="n">
        <v>4.44098923444733</v>
      </c>
      <c r="AF139" s="16" t="n">
        <v>14.8084619261393</v>
      </c>
      <c r="AG139" s="16" t="n">
        <v>33.5699570872498</v>
      </c>
      <c r="AH139" s="16" t="n">
        <v>9.01346788540916</v>
      </c>
      <c r="AI139" s="16" t="n">
        <v>9.01346788540916</v>
      </c>
      <c r="AJ139" s="16" t="n">
        <v>1.7075</v>
      </c>
      <c r="AK139" s="16" t="n">
        <v>3.625</v>
      </c>
      <c r="AL139" s="16" t="n">
        <v>0</v>
      </c>
      <c r="AM139" s="16" t="n">
        <v>0</v>
      </c>
      <c r="AN139" s="16" t="n">
        <v>600.22020708725</v>
      </c>
      <c r="AO139" s="16" t="n">
        <v>257.246532101867</v>
      </c>
      <c r="AP139" s="16" t="n">
        <v>36.5534678981335</v>
      </c>
      <c r="AQ139" s="14" t="n">
        <v>260.23004291275</v>
      </c>
      <c r="AR139" s="14" t="s">
        <v>372</v>
      </c>
      <c r="AS139" s="29"/>
      <c r="AT139" s="14" t="n">
        <v>222.262547194441</v>
      </c>
      <c r="AU139" s="17" t="n">
        <v>2.70050089258701</v>
      </c>
      <c r="AV139" s="17" t="n">
        <v>5.83717602661217</v>
      </c>
      <c r="AW139" s="16" t="n">
        <v>0</v>
      </c>
      <c r="AX139" s="14" t="s">
        <v>257</v>
      </c>
      <c r="AY139" s="14" t="s">
        <v>257</v>
      </c>
      <c r="AZ139" s="14" t="s">
        <v>258</v>
      </c>
      <c r="BA139" s="14" t="s">
        <v>259</v>
      </c>
      <c r="BB139" s="14" t="s">
        <v>428</v>
      </c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</row>
    <row r="140" customFormat="false" ht="15" hidden="false" customHeight="false" outlineLevel="0" collapsed="false">
      <c r="C140" s="14" t="s">
        <v>268</v>
      </c>
      <c r="D140" s="14" t="s">
        <v>269</v>
      </c>
      <c r="E140" s="14" t="s">
        <v>341</v>
      </c>
      <c r="F140" s="14" t="s">
        <v>335</v>
      </c>
      <c r="G140" s="29" t="n">
        <v>47058</v>
      </c>
      <c r="H140" s="29" t="n">
        <v>47149</v>
      </c>
      <c r="I140" s="14" t="s">
        <v>342</v>
      </c>
      <c r="J140" s="14" t="s">
        <v>303</v>
      </c>
      <c r="K140" s="14" t="n">
        <v>92</v>
      </c>
      <c r="L140" s="16" t="n">
        <v>400.00399710014</v>
      </c>
      <c r="M140" s="30" t="n">
        <v>22.9096754759419</v>
      </c>
      <c r="N140" s="16" t="n">
        <v>32.0226218946362</v>
      </c>
      <c r="O140" s="16" t="n">
        <v>-22.5170250047611</v>
      </c>
      <c r="P140" s="16" t="n">
        <v>-2.37639922246877</v>
      </c>
      <c r="Q140" s="16" t="n">
        <v>0.00152518350547968</v>
      </c>
      <c r="R140" s="16" t="n">
        <v>-14.0001398985049</v>
      </c>
      <c r="S140" s="16" t="n">
        <v>0</v>
      </c>
      <c r="T140" s="16" t="n">
        <v>15.647607957168</v>
      </c>
      <c r="U140" s="16" t="n">
        <v>25</v>
      </c>
      <c r="V140" s="16" t="n">
        <v>25</v>
      </c>
      <c r="W140" s="16" t="n">
        <v>504.03125</v>
      </c>
      <c r="X140" s="16" t="n">
        <v>11.90625</v>
      </c>
      <c r="Y140" s="16" t="n">
        <v>11.90625</v>
      </c>
      <c r="Z140" s="16" t="n">
        <v>0</v>
      </c>
      <c r="AA140" s="16" t="n">
        <v>0</v>
      </c>
      <c r="AB140" s="16" t="n">
        <v>0</v>
      </c>
      <c r="AC140" s="16" t="n">
        <v>492.125</v>
      </c>
      <c r="AD140" s="16" t="n">
        <v>33.5699570872498</v>
      </c>
      <c r="AE140" s="16" t="n">
        <v>11.3763753978559</v>
      </c>
      <c r="AF140" s="16" t="n">
        <v>1.0510855706021</v>
      </c>
      <c r="AG140" s="16" t="n">
        <v>43.8952469145036</v>
      </c>
      <c r="AH140" s="16" t="n">
        <v>8.81714778442176</v>
      </c>
      <c r="AI140" s="16" t="n">
        <v>8.81714778442176</v>
      </c>
      <c r="AJ140" s="16" t="n">
        <v>1.6245</v>
      </c>
      <c r="AK140" s="16" t="n">
        <v>3.625</v>
      </c>
      <c r="AL140" s="16" t="n">
        <v>0</v>
      </c>
      <c r="AM140" s="16" t="n">
        <v>0</v>
      </c>
      <c r="AN140" s="16" t="n">
        <v>598.639246914504</v>
      </c>
      <c r="AO140" s="16" t="n">
        <v>249.904753085496</v>
      </c>
      <c r="AP140" s="16" t="n">
        <v>43.8952469145036</v>
      </c>
      <c r="AQ140" s="14" t="n">
        <v>249.904753085496</v>
      </c>
      <c r="AR140" s="14" t="s">
        <v>372</v>
      </c>
      <c r="AS140" s="29"/>
      <c r="AT140" s="14" t="n">
        <v>222.261746608879</v>
      </c>
      <c r="AU140" s="17" t="n">
        <v>2.69339756412491</v>
      </c>
      <c r="AV140" s="17" t="n">
        <v>6.02400082507332</v>
      </c>
      <c r="AW140" s="16" t="n">
        <v>0</v>
      </c>
      <c r="AX140" s="14" t="s">
        <v>257</v>
      </c>
      <c r="AY140" s="14" t="s">
        <v>257</v>
      </c>
      <c r="AZ140" s="14" t="s">
        <v>258</v>
      </c>
      <c r="BA140" s="14" t="s">
        <v>259</v>
      </c>
      <c r="BB140" s="14" t="s">
        <v>429</v>
      </c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</row>
    <row r="141" customFormat="false" ht="15" hidden="false" customHeight="false" outlineLevel="0" collapsed="false">
      <c r="C141" s="14" t="s">
        <v>268</v>
      </c>
      <c r="D141" s="14" t="s">
        <v>269</v>
      </c>
      <c r="E141" s="14" t="s">
        <v>344</v>
      </c>
      <c r="F141" s="14" t="s">
        <v>335</v>
      </c>
      <c r="G141" s="29" t="n">
        <v>47150</v>
      </c>
      <c r="H141" s="29" t="n">
        <v>47238</v>
      </c>
      <c r="I141" s="14" t="s">
        <v>342</v>
      </c>
      <c r="J141" s="14" t="s">
        <v>255</v>
      </c>
      <c r="K141" s="14" t="n">
        <v>89</v>
      </c>
      <c r="L141" s="16" t="n">
        <v>452.432753896764</v>
      </c>
      <c r="M141" s="30" t="n">
        <v>28.8693217195837</v>
      </c>
      <c r="N141" s="16" t="n">
        <v>63.1832372137017</v>
      </c>
      <c r="O141" s="16" t="n">
        <v>-25.4683445823567</v>
      </c>
      <c r="P141" s="16" t="n">
        <v>-9.42872315783627</v>
      </c>
      <c r="Q141" s="16" t="n">
        <v>0.00165732670964526</v>
      </c>
      <c r="R141" s="16" t="n">
        <v>-15.8351463863867</v>
      </c>
      <c r="S141" s="16" t="n">
        <v>0</v>
      </c>
      <c r="T141" s="16" t="n">
        <v>37.9210249961884</v>
      </c>
      <c r="U141" s="16" t="n">
        <v>25</v>
      </c>
      <c r="V141" s="16" t="n">
        <v>25</v>
      </c>
      <c r="W141" s="16" t="n">
        <v>492.125</v>
      </c>
      <c r="X141" s="16" t="n">
        <v>11.90625</v>
      </c>
      <c r="Y141" s="16" t="n">
        <v>11.90625</v>
      </c>
      <c r="Z141" s="16" t="n">
        <v>0</v>
      </c>
      <c r="AA141" s="16" t="n">
        <v>0</v>
      </c>
      <c r="AB141" s="16" t="n">
        <v>0</v>
      </c>
      <c r="AC141" s="16" t="n">
        <v>480.21875</v>
      </c>
      <c r="AD141" s="16" t="n">
        <v>43.8952469145036</v>
      </c>
      <c r="AE141" s="16" t="n">
        <v>3.84077838314031</v>
      </c>
      <c r="AF141" s="16" t="n">
        <v>15.9990699729809</v>
      </c>
      <c r="AG141" s="16" t="n">
        <v>31.736955324663</v>
      </c>
      <c r="AH141" s="16" t="n">
        <v>8.60698340634776</v>
      </c>
      <c r="AI141" s="16" t="n">
        <v>8.60698340634776</v>
      </c>
      <c r="AJ141" s="16" t="n">
        <v>1.6245</v>
      </c>
      <c r="AK141" s="16" t="n">
        <v>3.625</v>
      </c>
      <c r="AL141" s="16" t="n">
        <v>0</v>
      </c>
      <c r="AM141" s="16" t="n">
        <v>0</v>
      </c>
      <c r="AN141" s="16" t="n">
        <v>574.574705324663</v>
      </c>
      <c r="AO141" s="16" t="n">
        <v>257.882389344961</v>
      </c>
      <c r="AP141" s="16" t="n">
        <v>35.9176106550386</v>
      </c>
      <c r="AQ141" s="14" t="n">
        <v>262.063044675337</v>
      </c>
      <c r="AR141" s="14" t="s">
        <v>372</v>
      </c>
      <c r="AS141" s="29"/>
      <c r="AT141" s="14" t="n">
        <v>222.260166988458</v>
      </c>
      <c r="AU141" s="17" t="n">
        <v>2.58514475675032</v>
      </c>
      <c r="AV141" s="17" t="n">
        <v>6.20793294423191</v>
      </c>
      <c r="AW141" s="16" t="n">
        <v>0</v>
      </c>
      <c r="AX141" s="14" t="s">
        <v>257</v>
      </c>
      <c r="AY141" s="14" t="s">
        <v>257</v>
      </c>
      <c r="AZ141" s="14" t="s">
        <v>258</v>
      </c>
      <c r="BA141" s="14" t="s">
        <v>259</v>
      </c>
      <c r="BB141" s="14" t="s">
        <v>430</v>
      </c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</row>
    <row r="142" customFormat="false" ht="15" hidden="false" customHeight="false" outlineLevel="0" collapsed="false">
      <c r="C142" s="14" t="s">
        <v>268</v>
      </c>
      <c r="D142" s="14" t="s">
        <v>269</v>
      </c>
      <c r="E142" s="14" t="s">
        <v>346</v>
      </c>
      <c r="F142" s="14" t="s">
        <v>335</v>
      </c>
      <c r="G142" s="29" t="n">
        <v>47239</v>
      </c>
      <c r="H142" s="29" t="n">
        <v>47330</v>
      </c>
      <c r="I142" s="14" t="s">
        <v>342</v>
      </c>
      <c r="J142" s="14" t="s">
        <v>271</v>
      </c>
      <c r="K142" s="14" t="n">
        <v>92</v>
      </c>
      <c r="L142" s="16" t="n">
        <v>495.223474557243</v>
      </c>
      <c r="M142" s="30" t="n">
        <v>27.6901735836919</v>
      </c>
      <c r="N142" s="16" t="n">
        <v>63.3196378606049</v>
      </c>
      <c r="O142" s="16" t="n">
        <v>-27.8771198297763</v>
      </c>
      <c r="P142" s="16" t="n">
        <v>-8.86062950770715</v>
      </c>
      <c r="Q142" s="16" t="n">
        <v>0.00182875074658537</v>
      </c>
      <c r="R142" s="16" t="n">
        <v>-17.3328216095035</v>
      </c>
      <c r="S142" s="16" t="n">
        <v>0</v>
      </c>
      <c r="T142" s="16" t="n">
        <v>37.1280154941409</v>
      </c>
      <c r="U142" s="16" t="n">
        <v>25</v>
      </c>
      <c r="V142" s="16" t="n">
        <v>25</v>
      </c>
      <c r="W142" s="16" t="n">
        <v>480.21875</v>
      </c>
      <c r="X142" s="16" t="n">
        <v>11.90625</v>
      </c>
      <c r="Y142" s="16" t="n">
        <v>11.90625</v>
      </c>
      <c r="Z142" s="16" t="n">
        <v>0</v>
      </c>
      <c r="AA142" s="16" t="n">
        <v>0</v>
      </c>
      <c r="AB142" s="16" t="n">
        <v>0</v>
      </c>
      <c r="AC142" s="16" t="n">
        <v>468.3125</v>
      </c>
      <c r="AD142" s="16" t="n">
        <v>31.736955324663</v>
      </c>
      <c r="AE142" s="16" t="n">
        <v>3.97518923494157</v>
      </c>
      <c r="AF142" s="16" t="n">
        <v>15.7324459334639</v>
      </c>
      <c r="AG142" s="16" t="n">
        <v>19.9796986261406</v>
      </c>
      <c r="AH142" s="16" t="n">
        <v>8.21500879561852</v>
      </c>
      <c r="AI142" s="16" t="n">
        <v>8.21500879561852</v>
      </c>
      <c r="AJ142" s="16" t="n">
        <v>1.6245</v>
      </c>
      <c r="AK142" s="16" t="n">
        <v>3.625</v>
      </c>
      <c r="AL142" s="16" t="n">
        <v>0</v>
      </c>
      <c r="AM142" s="16" t="n">
        <v>0</v>
      </c>
      <c r="AN142" s="16" t="n">
        <v>550.911198626141</v>
      </c>
      <c r="AO142" s="16" t="n">
        <v>269.907733856698</v>
      </c>
      <c r="AP142" s="16" t="n">
        <v>23.8922661433024</v>
      </c>
      <c r="AQ142" s="14" t="n">
        <v>273.820301373859</v>
      </c>
      <c r="AR142" s="14" t="s">
        <v>372</v>
      </c>
      <c r="AS142" s="29"/>
      <c r="AT142" s="14" t="n">
        <v>222.258583957936</v>
      </c>
      <c r="AU142" s="17" t="n">
        <v>2.47869481041238</v>
      </c>
      <c r="AV142" s="17" t="n">
        <v>6.41390641593893</v>
      </c>
      <c r="AW142" s="16" t="n">
        <v>0</v>
      </c>
      <c r="AX142" s="14" t="s">
        <v>257</v>
      </c>
      <c r="AY142" s="14" t="s">
        <v>257</v>
      </c>
      <c r="AZ142" s="14" t="s">
        <v>258</v>
      </c>
      <c r="BA142" s="14" t="s">
        <v>259</v>
      </c>
      <c r="BB142" s="14" t="s">
        <v>431</v>
      </c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</row>
    <row r="143" customFormat="false" ht="15" hidden="false" customHeight="false" outlineLevel="0" collapsed="false">
      <c r="C143" s="14" t="s">
        <v>268</v>
      </c>
      <c r="D143" s="14" t="s">
        <v>269</v>
      </c>
      <c r="E143" s="14" t="s">
        <v>348</v>
      </c>
      <c r="F143" s="14" t="s">
        <v>335</v>
      </c>
      <c r="G143" s="29" t="n">
        <v>47331</v>
      </c>
      <c r="H143" s="29" t="n">
        <v>47422</v>
      </c>
      <c r="I143" s="14" t="s">
        <v>342</v>
      </c>
      <c r="J143" s="14" t="s">
        <v>288</v>
      </c>
      <c r="K143" s="14" t="n">
        <v>92</v>
      </c>
      <c r="L143" s="16" t="n">
        <v>489.797017236892</v>
      </c>
      <c r="M143" s="30" t="n">
        <v>27.9159174302794</v>
      </c>
      <c r="N143" s="16" t="n">
        <v>63.7314936618185</v>
      </c>
      <c r="O143" s="16" t="n">
        <v>-27.5716536942991</v>
      </c>
      <c r="P143" s="16" t="n">
        <v>-9.03995999187983</v>
      </c>
      <c r="Q143" s="16" t="n">
        <v>0.00180593326573163</v>
      </c>
      <c r="R143" s="16" t="n">
        <v>-17.1428956032912</v>
      </c>
      <c r="S143" s="16" t="n">
        <v>0</v>
      </c>
      <c r="T143" s="16" t="n">
        <v>37.5504439999131</v>
      </c>
      <c r="U143" s="16" t="n">
        <v>25</v>
      </c>
      <c r="V143" s="16" t="n">
        <v>25</v>
      </c>
      <c r="W143" s="16" t="n">
        <v>468.3125</v>
      </c>
      <c r="X143" s="16" t="n">
        <v>11.90625</v>
      </c>
      <c r="Y143" s="16" t="n">
        <v>11.90625</v>
      </c>
      <c r="Z143" s="16" t="n">
        <v>0</v>
      </c>
      <c r="AA143" s="16" t="n">
        <v>0</v>
      </c>
      <c r="AB143" s="16" t="n">
        <v>0</v>
      </c>
      <c r="AC143" s="16" t="n">
        <v>456.40625</v>
      </c>
      <c r="AD143" s="16" t="n">
        <v>19.9796986261406</v>
      </c>
      <c r="AE143" s="16" t="n">
        <v>3.70109490410739</v>
      </c>
      <c r="AF143" s="16" t="n">
        <v>16.2761530576757</v>
      </c>
      <c r="AG143" s="16" t="n">
        <v>7.40464047257235</v>
      </c>
      <c r="AH143" s="16" t="n">
        <v>7.81963584634486</v>
      </c>
      <c r="AI143" s="16" t="n">
        <v>7.81963584634486</v>
      </c>
      <c r="AJ143" s="16" t="n">
        <v>1.6245</v>
      </c>
      <c r="AK143" s="16" t="n">
        <v>3.625</v>
      </c>
      <c r="AL143" s="16" t="n">
        <v>0</v>
      </c>
      <c r="AM143" s="16" t="n">
        <v>0</v>
      </c>
      <c r="AN143" s="16" t="n">
        <v>526.429890472572</v>
      </c>
      <c r="AO143" s="16" t="n">
        <v>281.9360999182</v>
      </c>
      <c r="AP143" s="16" t="n">
        <v>11.8639000818005</v>
      </c>
      <c r="AQ143" s="14" t="n">
        <v>286.395359527428</v>
      </c>
      <c r="AR143" s="14" t="s">
        <v>372</v>
      </c>
      <c r="AS143" s="29"/>
      <c r="AT143" s="14" t="n">
        <v>222.256990630761</v>
      </c>
      <c r="AU143" s="17" t="n">
        <v>2.36856392673443</v>
      </c>
      <c r="AV143" s="17" t="n">
        <v>6.64271136941376</v>
      </c>
      <c r="AW143" s="16" t="n">
        <v>0</v>
      </c>
      <c r="AX143" s="14" t="s">
        <v>257</v>
      </c>
      <c r="AY143" s="14" t="s">
        <v>257</v>
      </c>
      <c r="AZ143" s="14" t="s">
        <v>258</v>
      </c>
      <c r="BA143" s="14" t="s">
        <v>259</v>
      </c>
      <c r="BB143" s="14" t="s">
        <v>432</v>
      </c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</row>
    <row r="144" customFormat="false" ht="15" hidden="false" customHeight="false" outlineLevel="0" collapsed="false">
      <c r="C144" s="14" t="s">
        <v>268</v>
      </c>
      <c r="D144" s="14" t="s">
        <v>269</v>
      </c>
      <c r="E144" s="14" t="s">
        <v>350</v>
      </c>
      <c r="F144" s="14" t="s">
        <v>335</v>
      </c>
      <c r="G144" s="29" t="n">
        <v>47423</v>
      </c>
      <c r="H144" s="29" t="n">
        <v>47514</v>
      </c>
      <c r="I144" s="14" t="s">
        <v>351</v>
      </c>
      <c r="J144" s="14" t="s">
        <v>303</v>
      </c>
      <c r="K144" s="14" t="n">
        <v>92</v>
      </c>
      <c r="L144" s="16" t="n">
        <v>399.993997000213</v>
      </c>
      <c r="M144" s="30" t="n">
        <v>22.9096754759419</v>
      </c>
      <c r="N144" s="16" t="n">
        <v>32.0218213290888</v>
      </c>
      <c r="O144" s="16" t="n">
        <v>-22.516462079136</v>
      </c>
      <c r="P144" s="16" t="n">
        <v>-2.37633981248821</v>
      </c>
      <c r="Q144" s="16" t="n">
        <v>0.00152514537589204</v>
      </c>
      <c r="R144" s="16" t="n">
        <v>-13.9997898950074</v>
      </c>
      <c r="S144" s="16" t="n">
        <v>0</v>
      </c>
      <c r="T144" s="16" t="n">
        <v>15.6472167669691</v>
      </c>
      <c r="U144" s="16" t="n">
        <v>25</v>
      </c>
      <c r="V144" s="16" t="n">
        <v>25</v>
      </c>
      <c r="W144" s="16" t="n">
        <v>456.40625</v>
      </c>
      <c r="X144" s="16" t="n">
        <v>11.90625</v>
      </c>
      <c r="Y144" s="16" t="n">
        <v>11.90625</v>
      </c>
      <c r="Z144" s="16" t="n">
        <v>0</v>
      </c>
      <c r="AA144" s="16" t="n">
        <v>0</v>
      </c>
      <c r="AB144" s="16" t="n">
        <v>0</v>
      </c>
      <c r="AC144" s="16" t="n">
        <v>444.5</v>
      </c>
      <c r="AD144" s="16" t="n">
        <v>7.40464047257235</v>
      </c>
      <c r="AE144" s="16" t="n">
        <v>10.9371985591082</v>
      </c>
      <c r="AF144" s="16" t="n">
        <v>1.92225855433064</v>
      </c>
      <c r="AG144" s="16" t="n">
        <v>16.41958047735</v>
      </c>
      <c r="AH144" s="16" t="n">
        <v>7.59440677174665</v>
      </c>
      <c r="AI144" s="16" t="n">
        <v>7.59440677174665</v>
      </c>
      <c r="AJ144" s="16" t="n">
        <v>1.5365</v>
      </c>
      <c r="AK144" s="16" t="n">
        <v>3.625</v>
      </c>
      <c r="AL144" s="16" t="n">
        <v>0</v>
      </c>
      <c r="AM144" s="16" t="n">
        <v>0</v>
      </c>
      <c r="AN144" s="16" t="n">
        <v>523.53858047735</v>
      </c>
      <c r="AO144" s="16" t="n">
        <v>277.38041952265</v>
      </c>
      <c r="AP144" s="16" t="n">
        <v>16.41958047735</v>
      </c>
      <c r="AQ144" s="14" t="n">
        <v>277.38041952265</v>
      </c>
      <c r="AR144" s="14" t="s">
        <v>372</v>
      </c>
      <c r="AS144" s="29"/>
      <c r="AT144" s="14" t="n">
        <v>222.256190065214</v>
      </c>
      <c r="AU144" s="17" t="n">
        <v>2.3555635517901</v>
      </c>
      <c r="AV144" s="17" t="n">
        <v>6.89465039065296</v>
      </c>
      <c r="AW144" s="16" t="n">
        <v>0</v>
      </c>
      <c r="AX144" s="14" t="s">
        <v>257</v>
      </c>
      <c r="AY144" s="14" t="s">
        <v>257</v>
      </c>
      <c r="AZ144" s="14" t="s">
        <v>258</v>
      </c>
      <c r="BA144" s="14" t="s">
        <v>259</v>
      </c>
      <c r="BB144" s="14" t="s">
        <v>433</v>
      </c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</row>
    <row r="145" customFormat="false" ht="15" hidden="false" customHeight="false" outlineLevel="0" collapsed="false">
      <c r="C145" s="14" t="s">
        <v>268</v>
      </c>
      <c r="D145" s="14" t="s">
        <v>269</v>
      </c>
      <c r="E145" s="14" t="s">
        <v>353</v>
      </c>
      <c r="F145" s="14" t="s">
        <v>335</v>
      </c>
      <c r="G145" s="29" t="n">
        <v>47515</v>
      </c>
      <c r="H145" s="29" t="n">
        <v>47603</v>
      </c>
      <c r="I145" s="14" t="s">
        <v>351</v>
      </c>
      <c r="J145" s="14" t="s">
        <v>255</v>
      </c>
      <c r="K145" s="14" t="n">
        <v>89</v>
      </c>
      <c r="L145" s="16" t="n">
        <v>452.421443077917</v>
      </c>
      <c r="M145" s="30" t="n">
        <v>28.8693217195837</v>
      </c>
      <c r="N145" s="16" t="n">
        <v>63.1816576327714</v>
      </c>
      <c r="O145" s="16" t="n">
        <v>-25.4677078737421</v>
      </c>
      <c r="P145" s="16" t="n">
        <v>-9.42848743975732</v>
      </c>
      <c r="Q145" s="16" t="n">
        <v>0.00165728527647751</v>
      </c>
      <c r="R145" s="16" t="n">
        <v>-15.8347505077271</v>
      </c>
      <c r="S145" s="16" t="n">
        <v>0</v>
      </c>
      <c r="T145" s="16" t="n">
        <v>37.9200769705635</v>
      </c>
      <c r="U145" s="16" t="n">
        <v>25</v>
      </c>
      <c r="V145" s="16" t="n">
        <v>25</v>
      </c>
      <c r="W145" s="16" t="n">
        <v>444.5</v>
      </c>
      <c r="X145" s="16" t="n">
        <v>11.90625</v>
      </c>
      <c r="Y145" s="16" t="n">
        <v>11.90625</v>
      </c>
      <c r="Z145" s="16" t="n">
        <v>0</v>
      </c>
      <c r="AA145" s="16" t="n">
        <v>0</v>
      </c>
      <c r="AB145" s="16" t="n">
        <v>0</v>
      </c>
      <c r="AC145" s="16" t="n">
        <v>432.59375</v>
      </c>
      <c r="AD145" s="16" t="n">
        <v>16.41958047735</v>
      </c>
      <c r="AE145" s="16" t="n">
        <v>2.93235153096283</v>
      </c>
      <c r="AF145" s="16" t="n">
        <v>16.41958047735</v>
      </c>
      <c r="AG145" s="16" t="n">
        <v>2.93235153096283</v>
      </c>
      <c r="AH145" s="16" t="n">
        <v>7.36509802417633</v>
      </c>
      <c r="AI145" s="16" t="n">
        <v>7.36509802417633</v>
      </c>
      <c r="AJ145" s="16" t="n">
        <v>1.5365</v>
      </c>
      <c r="AK145" s="16" t="n">
        <v>3.625</v>
      </c>
      <c r="AL145" s="16" t="n">
        <v>0</v>
      </c>
      <c r="AM145" s="16" t="n">
        <v>0</v>
      </c>
      <c r="AN145" s="16" t="n">
        <v>498.145101530963</v>
      </c>
      <c r="AO145" s="16" t="n">
        <v>285.799457593108</v>
      </c>
      <c r="AP145" s="16" t="n">
        <v>8.00054240689237</v>
      </c>
      <c r="AQ145" s="14" t="n">
        <v>290.867648469037</v>
      </c>
      <c r="AR145" s="14" t="s">
        <v>372</v>
      </c>
      <c r="AS145" s="29"/>
      <c r="AT145" s="14" t="n">
        <v>222.254610484284</v>
      </c>
      <c r="AU145" s="17" t="n">
        <v>2.24132628990474</v>
      </c>
      <c r="AV145" s="17" t="n">
        <v>7.17085690412933</v>
      </c>
      <c r="AW145" s="16" t="n">
        <v>0</v>
      </c>
      <c r="AX145" s="14" t="s">
        <v>257</v>
      </c>
      <c r="AY145" s="14" t="s">
        <v>257</v>
      </c>
      <c r="AZ145" s="14" t="s">
        <v>258</v>
      </c>
      <c r="BA145" s="14" t="s">
        <v>259</v>
      </c>
      <c r="BB145" s="14" t="s">
        <v>434</v>
      </c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</row>
    <row r="146" customFormat="false" ht="15" hidden="false" customHeight="false" outlineLevel="0" collapsed="false">
      <c r="C146" s="14" t="s">
        <v>268</v>
      </c>
      <c r="D146" s="14" t="s">
        <v>269</v>
      </c>
      <c r="E146" s="14" t="s">
        <v>355</v>
      </c>
      <c r="F146" s="14" t="s">
        <v>335</v>
      </c>
      <c r="G146" s="29" t="n">
        <v>47604</v>
      </c>
      <c r="H146" s="29" t="n">
        <v>47695</v>
      </c>
      <c r="I146" s="14" t="s">
        <v>351</v>
      </c>
      <c r="J146" s="14" t="s">
        <v>271</v>
      </c>
      <c r="K146" s="14" t="n">
        <v>92</v>
      </c>
      <c r="L146" s="16" t="n">
        <v>495.211093970379</v>
      </c>
      <c r="M146" s="30" t="n">
        <v>27.6901735836919</v>
      </c>
      <c r="N146" s="16" t="n">
        <v>63.3180548696584</v>
      </c>
      <c r="O146" s="16" t="n">
        <v>-27.8764229017806</v>
      </c>
      <c r="P146" s="16" t="n">
        <v>-8.86040799196946</v>
      </c>
      <c r="Q146" s="16" t="n">
        <v>0.00182870502781671</v>
      </c>
      <c r="R146" s="16" t="n">
        <v>-17.3323882889633</v>
      </c>
      <c r="S146" s="16" t="n">
        <v>0</v>
      </c>
      <c r="T146" s="16" t="n">
        <v>37.1270872937535</v>
      </c>
      <c r="U146" s="16" t="n">
        <v>25</v>
      </c>
      <c r="V146" s="16" t="n">
        <v>35.0461994660997</v>
      </c>
      <c r="W146" s="16" t="n">
        <v>432.59375</v>
      </c>
      <c r="X146" s="16" t="n">
        <v>11.90625</v>
      </c>
      <c r="Y146" s="16" t="n">
        <v>11.90625</v>
      </c>
      <c r="Z146" s="16" t="n">
        <v>0</v>
      </c>
      <c r="AA146" s="16" t="n">
        <v>0</v>
      </c>
      <c r="AB146" s="16" t="n">
        <v>0</v>
      </c>
      <c r="AC146" s="16" t="n">
        <v>420.6875</v>
      </c>
      <c r="AD146" s="16" t="n">
        <v>2.93235153096283</v>
      </c>
      <c r="AE146" s="16" t="n">
        <v>0</v>
      </c>
      <c r="AF146" s="16" t="n">
        <v>2.93235153096283</v>
      </c>
      <c r="AG146" s="16" t="n">
        <v>0</v>
      </c>
      <c r="AH146" s="16" t="n">
        <v>7.08078629669101</v>
      </c>
      <c r="AI146" s="16" t="n">
        <v>7.08078629669101</v>
      </c>
      <c r="AJ146" s="16" t="n">
        <v>1.5365</v>
      </c>
      <c r="AK146" s="16" t="n">
        <v>3.625</v>
      </c>
      <c r="AL146" s="16" t="n">
        <v>0</v>
      </c>
      <c r="AM146" s="16" t="n">
        <v>0</v>
      </c>
      <c r="AN146" s="16" t="n">
        <v>483.3065</v>
      </c>
      <c r="AO146" s="16" t="n">
        <v>299.146366140056</v>
      </c>
      <c r="AP146" s="16" t="n">
        <v>0</v>
      </c>
      <c r="AQ146" s="14" t="n">
        <v>293.8</v>
      </c>
      <c r="AR146" s="14" t="s">
        <v>372</v>
      </c>
      <c r="AS146" s="29"/>
      <c r="AT146" s="14" t="n">
        <v>222.253027493337</v>
      </c>
      <c r="AU146" s="17" t="n">
        <v>2.17457780193563</v>
      </c>
      <c r="AV146" s="17" t="n">
        <v>7.44318725051397</v>
      </c>
      <c r="AW146" s="16" t="n">
        <v>0</v>
      </c>
      <c r="AX146" s="14" t="s">
        <v>257</v>
      </c>
      <c r="AY146" s="14" t="s">
        <v>257</v>
      </c>
      <c r="AZ146" s="14" t="s">
        <v>258</v>
      </c>
      <c r="BA146" s="14" t="s">
        <v>259</v>
      </c>
      <c r="BB146" s="14" t="s">
        <v>435</v>
      </c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</row>
    <row r="147" customFormat="false" ht="15" hidden="false" customHeight="false" outlineLevel="0" collapsed="false">
      <c r="C147" s="14" t="s">
        <v>268</v>
      </c>
      <c r="D147" s="14" t="s">
        <v>269</v>
      </c>
      <c r="E147" s="14" t="s">
        <v>357</v>
      </c>
      <c r="F147" s="14" t="s">
        <v>335</v>
      </c>
      <c r="G147" s="29" t="n">
        <v>47696</v>
      </c>
      <c r="H147" s="29" t="n">
        <v>47787</v>
      </c>
      <c r="I147" s="14" t="s">
        <v>351</v>
      </c>
      <c r="J147" s="14" t="s">
        <v>288</v>
      </c>
      <c r="K147" s="14" t="n">
        <v>92</v>
      </c>
      <c r="L147" s="16" t="n">
        <v>489.784772311461</v>
      </c>
      <c r="M147" s="30" t="n">
        <v>27.9159174302794</v>
      </c>
      <c r="N147" s="16" t="n">
        <v>63.7299003744769</v>
      </c>
      <c r="O147" s="16" t="n">
        <v>-27.5709644029568</v>
      </c>
      <c r="P147" s="16" t="n">
        <v>-9.03973399288004</v>
      </c>
      <c r="Q147" s="16" t="n">
        <v>0.00180588811739999</v>
      </c>
      <c r="R147" s="16" t="n">
        <v>-17.1424670309011</v>
      </c>
      <c r="S147" s="16" t="n">
        <v>0</v>
      </c>
      <c r="T147" s="16" t="n">
        <v>37.5495052388131</v>
      </c>
      <c r="U147" s="16" t="n">
        <v>35.0461994660997</v>
      </c>
      <c r="V147" s="16" t="n">
        <v>36.8253779383939</v>
      </c>
      <c r="W147" s="16" t="n">
        <v>420.6875</v>
      </c>
      <c r="X147" s="16" t="n">
        <v>11.90625</v>
      </c>
      <c r="Y147" s="16" t="n">
        <v>11.90625</v>
      </c>
      <c r="Z147" s="16" t="n">
        <v>11.8253779383939</v>
      </c>
      <c r="AA147" s="16" t="n">
        <v>0</v>
      </c>
      <c r="AB147" s="16" t="n">
        <v>0</v>
      </c>
      <c r="AC147" s="16" t="n">
        <v>396.955872061606</v>
      </c>
      <c r="AD147" s="16" t="n">
        <v>0</v>
      </c>
      <c r="AE147" s="16" t="n">
        <v>0</v>
      </c>
      <c r="AF147" s="16" t="n">
        <v>0</v>
      </c>
      <c r="AG147" s="16" t="n">
        <v>0</v>
      </c>
      <c r="AH147" s="16" t="n">
        <v>6.877198828125</v>
      </c>
      <c r="AI147" s="16" t="n">
        <v>6.877198828125</v>
      </c>
      <c r="AJ147" s="16" t="n">
        <v>1.5365</v>
      </c>
      <c r="AK147" s="16" t="n">
        <v>3.625</v>
      </c>
      <c r="AL147" s="16" t="n">
        <v>0</v>
      </c>
      <c r="AM147" s="16" t="n">
        <v>0</v>
      </c>
      <c r="AN147" s="16" t="n">
        <v>459.574872061606</v>
      </c>
      <c r="AO147" s="16" t="n">
        <v>305.625377938394</v>
      </c>
      <c r="AP147" s="16" t="n">
        <v>0</v>
      </c>
      <c r="AQ147" s="14" t="n">
        <v>293.8</v>
      </c>
      <c r="AR147" s="14" t="s">
        <v>372</v>
      </c>
      <c r="AS147" s="29"/>
      <c r="AT147" s="14" t="n">
        <v>222.251434205996</v>
      </c>
      <c r="AU147" s="17" t="n">
        <v>2.06781510186182</v>
      </c>
      <c r="AV147" s="17" t="n">
        <v>7.68570974919236</v>
      </c>
      <c r="AW147" s="16" t="n">
        <v>0</v>
      </c>
      <c r="AX147" s="14" t="s">
        <v>257</v>
      </c>
      <c r="AY147" s="14" t="s">
        <v>257</v>
      </c>
      <c r="AZ147" s="14" t="s">
        <v>258</v>
      </c>
      <c r="BA147" s="14" t="s">
        <v>259</v>
      </c>
      <c r="BB147" s="14" t="s">
        <v>436</v>
      </c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</row>
    <row r="148" customFormat="false" ht="15" hidden="false" customHeight="false" outlineLevel="0" collapsed="false">
      <c r="C148" s="14" t="s">
        <v>268</v>
      </c>
      <c r="D148" s="14" t="s">
        <v>269</v>
      </c>
      <c r="E148" s="14" t="s">
        <v>359</v>
      </c>
      <c r="F148" s="14" t="s">
        <v>335</v>
      </c>
      <c r="G148" s="29" t="n">
        <v>47788</v>
      </c>
      <c r="H148" s="29" t="n">
        <v>47879</v>
      </c>
      <c r="I148" s="14" t="s">
        <v>360</v>
      </c>
      <c r="J148" s="14" t="s">
        <v>303</v>
      </c>
      <c r="K148" s="14" t="n">
        <v>92</v>
      </c>
      <c r="L148" s="16" t="n">
        <v>399.983997150288</v>
      </c>
      <c r="M148" s="30" t="n">
        <v>22.9096754759419</v>
      </c>
      <c r="N148" s="16" t="n">
        <v>32.0210207835556</v>
      </c>
      <c r="O148" s="16" t="n">
        <v>-22.515899167584</v>
      </c>
      <c r="P148" s="16" t="n">
        <v>-2.3762804039929</v>
      </c>
      <c r="Q148" s="16" t="n">
        <v>0.00152510724725765</v>
      </c>
      <c r="R148" s="16" t="n">
        <v>-13.9994399002601</v>
      </c>
      <c r="S148" s="16" t="n">
        <v>0</v>
      </c>
      <c r="T148" s="16" t="n">
        <v>15.6468255865499</v>
      </c>
      <c r="U148" s="16" t="n">
        <v>36.8253779383939</v>
      </c>
      <c r="V148" s="16" t="n">
        <v>25</v>
      </c>
      <c r="W148" s="16" t="n">
        <v>396.955872061606</v>
      </c>
      <c r="X148" s="16" t="n">
        <v>11.90625</v>
      </c>
      <c r="Y148" s="16" t="n">
        <v>11.90625</v>
      </c>
      <c r="Z148" s="16" t="n">
        <v>0</v>
      </c>
      <c r="AA148" s="16" t="n">
        <v>385.049622061606</v>
      </c>
      <c r="AB148" s="16" t="n">
        <v>3.9170466857069</v>
      </c>
      <c r="AC148" s="16" t="n">
        <v>381.132575375899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6.48740683923688</v>
      </c>
      <c r="AI148" s="16" t="n">
        <v>6.48740683923688</v>
      </c>
      <c r="AJ148" s="16" t="n">
        <v>1.5365</v>
      </c>
      <c r="AK148" s="16" t="n">
        <v>3.625</v>
      </c>
      <c r="AL148" s="16" t="n">
        <v>0</v>
      </c>
      <c r="AM148" s="16" t="n">
        <v>0</v>
      </c>
      <c r="AN148" s="16" t="n">
        <v>443.751575375899</v>
      </c>
      <c r="AO148" s="16" t="n">
        <v>0</v>
      </c>
      <c r="AP148" s="16" t="n">
        <v>0</v>
      </c>
      <c r="AQ148" s="14" t="n">
        <v>0</v>
      </c>
      <c r="AR148" s="14" t="s">
        <v>372</v>
      </c>
      <c r="AS148" s="29"/>
      <c r="AT148" s="14" t="n">
        <v>222.250633660462</v>
      </c>
      <c r="AU148" s="17" t="n">
        <v>1.99662681751373</v>
      </c>
      <c r="AV148" s="17" t="n">
        <v>7.99161157370941</v>
      </c>
      <c r="AW148" s="16" t="n">
        <v>381.132575375899</v>
      </c>
      <c r="AX148" s="14" t="s">
        <v>361</v>
      </c>
      <c r="AY148" s="14" t="s">
        <v>257</v>
      </c>
      <c r="AZ148" s="14" t="s">
        <v>362</v>
      </c>
      <c r="BA148" s="14" t="s">
        <v>259</v>
      </c>
      <c r="BB148" s="14" t="s">
        <v>437</v>
      </c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</row>
    <row r="149" customFormat="false" ht="15" hidden="false" customHeight="false" outlineLevel="0" collapsed="false">
      <c r="C149" s="14" t="s">
        <v>273</v>
      </c>
      <c r="D149" s="14" t="s">
        <v>274</v>
      </c>
      <c r="E149" s="14" t="s">
        <v>252</v>
      </c>
      <c r="F149" s="14" t="s">
        <v>253</v>
      </c>
      <c r="G149" s="29" t="n">
        <v>46054</v>
      </c>
      <c r="H149" s="29" t="n">
        <v>46081</v>
      </c>
      <c r="I149" s="14" t="s">
        <v>254</v>
      </c>
      <c r="J149" s="14" t="s">
        <v>255</v>
      </c>
      <c r="K149" s="14" t="n">
        <v>28</v>
      </c>
      <c r="L149" s="16" t="n">
        <v>38.45966848425</v>
      </c>
      <c r="M149" s="30" t="n">
        <v>28.8693217195837</v>
      </c>
      <c r="N149" s="16" t="n">
        <v>3.92874040828301</v>
      </c>
      <c r="O149" s="16" t="n">
        <v>-8.4900849345702</v>
      </c>
      <c r="P149" s="16" t="n">
        <v>-0.440942187491901</v>
      </c>
      <c r="Q149" s="16" t="n">
        <v>-18.4515796935303</v>
      </c>
      <c r="R149" s="16" t="n">
        <v>-1.34608839694875</v>
      </c>
      <c r="S149" s="16" t="n">
        <v>-0.32</v>
      </c>
      <c r="T149" s="16" t="n">
        <v>-16.629869869688</v>
      </c>
      <c r="U149" s="16" t="n">
        <v>25</v>
      </c>
      <c r="V149" s="16" t="n">
        <v>25</v>
      </c>
      <c r="W149" s="16" t="n">
        <v>635</v>
      </c>
      <c r="X149" s="16" t="n">
        <v>0</v>
      </c>
      <c r="Y149" s="16" t="n">
        <v>0</v>
      </c>
      <c r="Z149" s="16" t="n">
        <v>0</v>
      </c>
      <c r="AA149" s="16" t="n">
        <v>0</v>
      </c>
      <c r="AB149" s="16" t="n">
        <v>0</v>
      </c>
      <c r="AC149" s="16" t="n">
        <v>635</v>
      </c>
      <c r="AD149" s="16" t="n">
        <v>29.89771875</v>
      </c>
      <c r="AE149" s="16" t="n">
        <v>23.7841938031328</v>
      </c>
      <c r="AF149" s="16" t="n">
        <v>0</v>
      </c>
      <c r="AG149" s="16" t="n">
        <v>53.6819125531328</v>
      </c>
      <c r="AH149" s="16" t="n">
        <v>4.83340726677822</v>
      </c>
      <c r="AI149" s="16" t="n">
        <v>4.83340726677822</v>
      </c>
      <c r="AJ149" s="16" t="n">
        <v>0.695916666666667</v>
      </c>
      <c r="AK149" s="16" t="n">
        <v>1.20833333333333</v>
      </c>
      <c r="AL149" s="16" t="n">
        <v>0.416666666666667</v>
      </c>
      <c r="AM149" s="16" t="n">
        <v>0</v>
      </c>
      <c r="AN149" s="16" t="n">
        <v>751.300912553133</v>
      </c>
      <c r="AO149" s="16" t="n">
        <v>240.118087446867</v>
      </c>
      <c r="AP149" s="16" t="n">
        <v>53.6819125531328</v>
      </c>
      <c r="AQ149" s="14" t="n">
        <v>240.118087446867</v>
      </c>
      <c r="AR149" s="14" t="s">
        <v>256</v>
      </c>
      <c r="AS149" s="29"/>
      <c r="AT149" s="14"/>
      <c r="AU149" s="17"/>
      <c r="AV149" s="17"/>
      <c r="AW149" s="16" t="n">
        <v>0</v>
      </c>
      <c r="AX149" s="14" t="s">
        <v>257</v>
      </c>
      <c r="AY149" s="14" t="s">
        <v>257</v>
      </c>
      <c r="AZ149" s="14" t="s">
        <v>258</v>
      </c>
      <c r="BA149" s="14" t="s">
        <v>259</v>
      </c>
      <c r="BB149" s="14" t="s">
        <v>438</v>
      </c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</row>
    <row r="150" customFormat="false" ht="15" hidden="false" customHeight="false" outlineLevel="0" collapsed="false">
      <c r="C150" s="14" t="s">
        <v>273</v>
      </c>
      <c r="D150" s="14" t="s">
        <v>274</v>
      </c>
      <c r="E150" s="14" t="s">
        <v>261</v>
      </c>
      <c r="F150" s="14" t="s">
        <v>253</v>
      </c>
      <c r="G150" s="29" t="n">
        <v>46082</v>
      </c>
      <c r="H150" s="29" t="n">
        <v>46112</v>
      </c>
      <c r="I150" s="14" t="s">
        <v>254</v>
      </c>
      <c r="J150" s="14" t="s">
        <v>255</v>
      </c>
      <c r="K150" s="14" t="n">
        <v>31</v>
      </c>
      <c r="L150" s="16" t="n">
        <v>96.149171210625</v>
      </c>
      <c r="M150" s="30" t="n">
        <v>28.8693217195837</v>
      </c>
      <c r="N150" s="16" t="n">
        <v>9.82185102070751</v>
      </c>
      <c r="O150" s="16" t="n">
        <v>-8.4900849345702</v>
      </c>
      <c r="P150" s="16" t="n">
        <v>-1.10235546872975</v>
      </c>
      <c r="Q150" s="16" t="n">
        <v>-46.1289492338258</v>
      </c>
      <c r="R150" s="16" t="n">
        <v>-3.36522099237188</v>
      </c>
      <c r="S150" s="16" t="n">
        <v>-0.8</v>
      </c>
      <c r="T150" s="16" t="n">
        <v>-41.5746746742199</v>
      </c>
      <c r="U150" s="16" t="n">
        <v>25</v>
      </c>
      <c r="V150" s="16" t="n">
        <v>25</v>
      </c>
      <c r="W150" s="16" t="n">
        <v>635</v>
      </c>
      <c r="X150" s="16" t="n">
        <v>0</v>
      </c>
      <c r="Y150" s="16" t="n">
        <v>0</v>
      </c>
      <c r="Z150" s="16" t="n">
        <v>0</v>
      </c>
      <c r="AA150" s="16" t="n">
        <v>0</v>
      </c>
      <c r="AB150" s="16" t="n">
        <v>0</v>
      </c>
      <c r="AC150" s="16" t="n">
        <v>635</v>
      </c>
      <c r="AD150" s="16" t="n">
        <v>53.6819125531328</v>
      </c>
      <c r="AE150" s="16" t="n">
        <v>48.9888590505631</v>
      </c>
      <c r="AF150" s="16" t="n">
        <v>0</v>
      </c>
      <c r="AG150" s="16" t="n">
        <v>102.670771603696</v>
      </c>
      <c r="AH150" s="16" t="n">
        <v>5.09326770967658</v>
      </c>
      <c r="AI150" s="16" t="n">
        <v>5.09326770967658</v>
      </c>
      <c r="AJ150" s="16" t="n">
        <v>0.695916666666667</v>
      </c>
      <c r="AK150" s="16" t="n">
        <v>1.20833333333333</v>
      </c>
      <c r="AL150" s="16" t="n">
        <v>0.416666666666667</v>
      </c>
      <c r="AM150" s="16" t="n">
        <v>0</v>
      </c>
      <c r="AN150" s="16" t="n">
        <v>800.289771603696</v>
      </c>
      <c r="AO150" s="16" t="n">
        <v>191.129228396304</v>
      </c>
      <c r="AP150" s="16" t="n">
        <v>102.670771603696</v>
      </c>
      <c r="AQ150" s="14" t="n">
        <v>191.129228396304</v>
      </c>
      <c r="AR150" s="14" t="s">
        <v>256</v>
      </c>
      <c r="AS150" s="29"/>
      <c r="AT150" s="14"/>
      <c r="AU150" s="17"/>
      <c r="AV150" s="17"/>
      <c r="AW150" s="16" t="n">
        <v>0</v>
      </c>
      <c r="AX150" s="14" t="s">
        <v>257</v>
      </c>
      <c r="AY150" s="14" t="s">
        <v>257</v>
      </c>
      <c r="AZ150" s="14" t="s">
        <v>258</v>
      </c>
      <c r="BA150" s="14" t="s">
        <v>259</v>
      </c>
      <c r="BB150" s="14" t="s">
        <v>439</v>
      </c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</row>
    <row r="151" customFormat="false" ht="15" hidden="false" customHeight="false" outlineLevel="0" collapsed="false">
      <c r="C151" s="14" t="s">
        <v>273</v>
      </c>
      <c r="D151" s="14" t="s">
        <v>274</v>
      </c>
      <c r="E151" s="14" t="s">
        <v>266</v>
      </c>
      <c r="F151" s="14" t="s">
        <v>253</v>
      </c>
      <c r="G151" s="29" t="n">
        <v>46113</v>
      </c>
      <c r="H151" s="29" t="n">
        <v>46142</v>
      </c>
      <c r="I151" s="14" t="s">
        <v>254</v>
      </c>
      <c r="J151" s="14" t="s">
        <v>255</v>
      </c>
      <c r="K151" s="14" t="n">
        <v>30</v>
      </c>
      <c r="L151" s="16" t="n">
        <v>249.987845147625</v>
      </c>
      <c r="M151" s="30" t="n">
        <v>28.8693217195837</v>
      </c>
      <c r="N151" s="16" t="n">
        <v>25.5368126538395</v>
      </c>
      <c r="O151" s="16" t="n">
        <v>-8.4900849345702</v>
      </c>
      <c r="P151" s="16" t="n">
        <v>-2.86612421869736</v>
      </c>
      <c r="Q151" s="16" t="n">
        <v>-119.935268007947</v>
      </c>
      <c r="R151" s="16" t="n">
        <v>-8.74957458016688</v>
      </c>
      <c r="S151" s="16" t="n">
        <v>-2.08</v>
      </c>
      <c r="T151" s="16" t="n">
        <v>-108.094154152972</v>
      </c>
      <c r="U151" s="16" t="n">
        <v>25</v>
      </c>
      <c r="V151" s="16" t="n">
        <v>25</v>
      </c>
      <c r="W151" s="16" t="n">
        <v>635</v>
      </c>
      <c r="X151" s="16" t="n">
        <v>11.90625</v>
      </c>
      <c r="Y151" s="16" t="n">
        <v>11.90625</v>
      </c>
      <c r="Z151" s="16" t="n">
        <v>0</v>
      </c>
      <c r="AA151" s="16" t="n">
        <v>0</v>
      </c>
      <c r="AB151" s="16" t="n">
        <v>0</v>
      </c>
      <c r="AC151" s="16" t="n">
        <v>623.09375</v>
      </c>
      <c r="AD151" s="16" t="n">
        <v>102.670771603696</v>
      </c>
      <c r="AE151" s="16" t="n">
        <v>128.004085601468</v>
      </c>
      <c r="AF151" s="16" t="n">
        <v>0</v>
      </c>
      <c r="AG151" s="16" t="n">
        <v>230.674857205164</v>
      </c>
      <c r="AH151" s="16" t="n">
        <v>5.68276478182971</v>
      </c>
      <c r="AI151" s="16" t="n">
        <v>5.68276478182971</v>
      </c>
      <c r="AJ151" s="16" t="n">
        <v>0.695916666666667</v>
      </c>
      <c r="AK151" s="16" t="n">
        <v>1.20833333333333</v>
      </c>
      <c r="AL151" s="16" t="n">
        <v>0.416666666666667</v>
      </c>
      <c r="AM151" s="16" t="n">
        <v>0</v>
      </c>
      <c r="AN151" s="16" t="n">
        <v>916.387607205164</v>
      </c>
      <c r="AO151" s="16" t="n">
        <v>63.125142794836</v>
      </c>
      <c r="AP151" s="16" t="n">
        <v>230.674857205164</v>
      </c>
      <c r="AQ151" s="14" t="n">
        <v>63.125142794836</v>
      </c>
      <c r="AR151" s="14" t="s">
        <v>256</v>
      </c>
      <c r="AS151" s="29"/>
      <c r="AT151" s="14"/>
      <c r="AU151" s="17"/>
      <c r="AV151" s="17"/>
      <c r="AW151" s="16" t="n">
        <v>0</v>
      </c>
      <c r="AX151" s="14" t="s">
        <v>257</v>
      </c>
      <c r="AY151" s="14" t="s">
        <v>257</v>
      </c>
      <c r="AZ151" s="14" t="s">
        <v>258</v>
      </c>
      <c r="BA151" s="14" t="s">
        <v>259</v>
      </c>
      <c r="BB151" s="14" t="s">
        <v>440</v>
      </c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</row>
    <row r="152" customFormat="false" ht="15" hidden="false" customHeight="false" outlineLevel="0" collapsed="false">
      <c r="C152" s="14" t="s">
        <v>273</v>
      </c>
      <c r="D152" s="14" t="s">
        <v>274</v>
      </c>
      <c r="E152" s="14" t="s">
        <v>270</v>
      </c>
      <c r="F152" s="14" t="s">
        <v>253</v>
      </c>
      <c r="G152" s="29" t="n">
        <v>46143</v>
      </c>
      <c r="H152" s="29" t="n">
        <v>46173</v>
      </c>
      <c r="I152" s="14" t="s">
        <v>254</v>
      </c>
      <c r="J152" s="14" t="s">
        <v>271</v>
      </c>
      <c r="K152" s="14" t="n">
        <v>31</v>
      </c>
      <c r="L152" s="16" t="n">
        <v>42.097152544875</v>
      </c>
      <c r="M152" s="30" t="n">
        <v>27.6901735836919</v>
      </c>
      <c r="N152" s="16" t="n">
        <v>3.80392968059394</v>
      </c>
      <c r="O152" s="16" t="n">
        <v>-9.2930702394357</v>
      </c>
      <c r="P152" s="16" t="n">
        <v>-0.35854919238446</v>
      </c>
      <c r="Q152" s="16" t="n">
        <v>1.60146836055032</v>
      </c>
      <c r="R152" s="16" t="n">
        <v>-1.47340033907063</v>
      </c>
      <c r="S152" s="16" t="n">
        <v>-0.25</v>
      </c>
      <c r="T152" s="16" t="n">
        <v>3.32344850968918</v>
      </c>
      <c r="U152" s="16" t="n">
        <v>25</v>
      </c>
      <c r="V152" s="16" t="n">
        <v>25</v>
      </c>
      <c r="W152" s="16" t="n">
        <v>623.09375</v>
      </c>
      <c r="X152" s="16" t="n">
        <v>0</v>
      </c>
      <c r="Y152" s="16" t="n">
        <v>0</v>
      </c>
      <c r="Z152" s="16" t="n">
        <v>0</v>
      </c>
      <c r="AA152" s="16" t="n">
        <v>0</v>
      </c>
      <c r="AB152" s="16" t="n">
        <v>0</v>
      </c>
      <c r="AC152" s="16" t="n">
        <v>623.09375</v>
      </c>
      <c r="AD152" s="16" t="n">
        <v>230.674857205164</v>
      </c>
      <c r="AE152" s="16" t="n">
        <v>5.11305683387571</v>
      </c>
      <c r="AF152" s="16" t="n">
        <v>0</v>
      </c>
      <c r="AG152" s="16" t="n">
        <v>235.78791403904</v>
      </c>
      <c r="AH152" s="16" t="n">
        <v>6.11558867689822</v>
      </c>
      <c r="AI152" s="16" t="n">
        <v>6.11558867689822</v>
      </c>
      <c r="AJ152" s="16" t="n">
        <v>0.695916666666667</v>
      </c>
      <c r="AK152" s="16" t="n">
        <v>1.20833333333333</v>
      </c>
      <c r="AL152" s="16" t="n">
        <v>0.416666666666667</v>
      </c>
      <c r="AM152" s="16" t="n">
        <v>0</v>
      </c>
      <c r="AN152" s="16" t="n">
        <v>921.50066403904</v>
      </c>
      <c r="AO152" s="16" t="n">
        <v>58.0120859609603</v>
      </c>
      <c r="AP152" s="16" t="n">
        <v>235.78791403904</v>
      </c>
      <c r="AQ152" s="14" t="n">
        <v>58.0120859609603</v>
      </c>
      <c r="AR152" s="14" t="s">
        <v>256</v>
      </c>
      <c r="AS152" s="29"/>
      <c r="AT152" s="14"/>
      <c r="AU152" s="17"/>
      <c r="AV152" s="17"/>
      <c r="AW152" s="16" t="n">
        <v>0</v>
      </c>
      <c r="AX152" s="14" t="s">
        <v>257</v>
      </c>
      <c r="AY152" s="14" t="s">
        <v>257</v>
      </c>
      <c r="AZ152" s="14" t="s">
        <v>258</v>
      </c>
      <c r="BA152" s="14" t="s">
        <v>259</v>
      </c>
      <c r="BB152" s="14" t="s">
        <v>441</v>
      </c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</row>
    <row r="153" customFormat="false" ht="15" hidden="false" customHeight="false" outlineLevel="0" collapsed="false">
      <c r="C153" s="14" t="s">
        <v>273</v>
      </c>
      <c r="D153" s="14" t="s">
        <v>274</v>
      </c>
      <c r="E153" s="14" t="s">
        <v>277</v>
      </c>
      <c r="F153" s="14" t="s">
        <v>253</v>
      </c>
      <c r="G153" s="29" t="n">
        <v>46174</v>
      </c>
      <c r="H153" s="29" t="n">
        <v>46203</v>
      </c>
      <c r="I153" s="14" t="s">
        <v>254</v>
      </c>
      <c r="J153" s="14" t="s">
        <v>271</v>
      </c>
      <c r="K153" s="14" t="n">
        <v>30</v>
      </c>
      <c r="L153" s="16" t="n">
        <v>105.242881362188</v>
      </c>
      <c r="M153" s="30" t="n">
        <v>27.6901735836919</v>
      </c>
      <c r="N153" s="16" t="n">
        <v>9.50982420148486</v>
      </c>
      <c r="O153" s="16" t="n">
        <v>-9.2930702394357</v>
      </c>
      <c r="P153" s="16" t="n">
        <v>-0.896372980961149</v>
      </c>
      <c r="Q153" s="16" t="n">
        <v>4.0036709013758</v>
      </c>
      <c r="R153" s="16" t="n">
        <v>-3.68350084767656</v>
      </c>
      <c r="S153" s="16" t="n">
        <v>-0.625</v>
      </c>
      <c r="T153" s="16" t="n">
        <v>8.30862127422294</v>
      </c>
      <c r="U153" s="16" t="n">
        <v>25</v>
      </c>
      <c r="V153" s="16" t="n">
        <v>25</v>
      </c>
      <c r="W153" s="16" t="n">
        <v>623.09375</v>
      </c>
      <c r="X153" s="16" t="n">
        <v>0</v>
      </c>
      <c r="Y153" s="16" t="n">
        <v>0</v>
      </c>
      <c r="Z153" s="16" t="n">
        <v>0</v>
      </c>
      <c r="AA153" s="16" t="n">
        <v>0</v>
      </c>
      <c r="AB153" s="16" t="n">
        <v>0</v>
      </c>
      <c r="AC153" s="16" t="n">
        <v>623.09375</v>
      </c>
      <c r="AD153" s="16" t="n">
        <v>235.78791403904</v>
      </c>
      <c r="AE153" s="16" t="n">
        <v>0.146665661756307</v>
      </c>
      <c r="AF153" s="16" t="n">
        <v>0</v>
      </c>
      <c r="AG153" s="16" t="n">
        <v>235.934579700796</v>
      </c>
      <c r="AH153" s="16" t="n">
        <v>6.13437026931258</v>
      </c>
      <c r="AI153" s="16" t="n">
        <v>6.13437026931258</v>
      </c>
      <c r="AJ153" s="16" t="n">
        <v>0.695916666666667</v>
      </c>
      <c r="AK153" s="16" t="n">
        <v>1.20833333333333</v>
      </c>
      <c r="AL153" s="16" t="n">
        <v>0.416666666666667</v>
      </c>
      <c r="AM153" s="16" t="n">
        <v>0</v>
      </c>
      <c r="AN153" s="16" t="n">
        <v>921.647329700796</v>
      </c>
      <c r="AO153" s="16" t="n">
        <v>57.865420299204</v>
      </c>
      <c r="AP153" s="16" t="n">
        <v>235.934579700796</v>
      </c>
      <c r="AQ153" s="14" t="n">
        <v>57.865420299204</v>
      </c>
      <c r="AR153" s="14" t="s">
        <v>256</v>
      </c>
      <c r="AS153" s="29"/>
      <c r="AT153" s="14"/>
      <c r="AU153" s="17"/>
      <c r="AV153" s="17"/>
      <c r="AW153" s="16" t="n">
        <v>0</v>
      </c>
      <c r="AX153" s="14" t="s">
        <v>257</v>
      </c>
      <c r="AY153" s="14" t="s">
        <v>257</v>
      </c>
      <c r="AZ153" s="14" t="s">
        <v>258</v>
      </c>
      <c r="BA153" s="14" t="s">
        <v>259</v>
      </c>
      <c r="BB153" s="14" t="s">
        <v>442</v>
      </c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</row>
    <row r="154" customFormat="false" ht="15" hidden="false" customHeight="false" outlineLevel="0" collapsed="false">
      <c r="C154" s="14" t="s">
        <v>273</v>
      </c>
      <c r="D154" s="14" t="s">
        <v>274</v>
      </c>
      <c r="E154" s="14" t="s">
        <v>282</v>
      </c>
      <c r="F154" s="14" t="s">
        <v>253</v>
      </c>
      <c r="G154" s="29" t="n">
        <v>46204</v>
      </c>
      <c r="H154" s="29" t="n">
        <v>46234</v>
      </c>
      <c r="I154" s="14" t="s">
        <v>254</v>
      </c>
      <c r="J154" s="14" t="s">
        <v>271</v>
      </c>
      <c r="K154" s="14" t="n">
        <v>31</v>
      </c>
      <c r="L154" s="16" t="n">
        <v>273.631491541688</v>
      </c>
      <c r="M154" s="30" t="n">
        <v>27.6901735836919</v>
      </c>
      <c r="N154" s="16" t="n">
        <v>24.7255429238606</v>
      </c>
      <c r="O154" s="16" t="n">
        <v>-9.2930702394357</v>
      </c>
      <c r="P154" s="16" t="n">
        <v>-2.33056975049899</v>
      </c>
      <c r="Q154" s="16" t="n">
        <v>10.4095443435771</v>
      </c>
      <c r="R154" s="16" t="n">
        <v>-9.57710220395906</v>
      </c>
      <c r="S154" s="16" t="n">
        <v>-1.625</v>
      </c>
      <c r="T154" s="16" t="n">
        <v>21.6024153129796</v>
      </c>
      <c r="U154" s="16" t="n">
        <v>25</v>
      </c>
      <c r="V154" s="16" t="n">
        <v>25</v>
      </c>
      <c r="W154" s="16" t="n">
        <v>623.09375</v>
      </c>
      <c r="X154" s="16" t="n">
        <v>11.90625</v>
      </c>
      <c r="Y154" s="16" t="n">
        <v>11.90625</v>
      </c>
      <c r="Z154" s="16" t="n">
        <v>0</v>
      </c>
      <c r="AA154" s="16" t="n">
        <v>0</v>
      </c>
      <c r="AB154" s="16" t="n">
        <v>0</v>
      </c>
      <c r="AC154" s="16" t="n">
        <v>611.1875</v>
      </c>
      <c r="AD154" s="16" t="n">
        <v>235.934579700796</v>
      </c>
      <c r="AE154" s="16" t="n">
        <v>0</v>
      </c>
      <c r="AF154" s="16" t="n">
        <v>1.28746722361838</v>
      </c>
      <c r="AG154" s="16" t="n">
        <v>234.647112477178</v>
      </c>
      <c r="AH154" s="16" t="n">
        <v>6.08778142269459</v>
      </c>
      <c r="AI154" s="16" t="n">
        <v>6.08778142269459</v>
      </c>
      <c r="AJ154" s="16" t="n">
        <v>0.695916666666667</v>
      </c>
      <c r="AK154" s="16" t="n">
        <v>1.20833333333333</v>
      </c>
      <c r="AL154" s="16" t="n">
        <v>0.416666666666667</v>
      </c>
      <c r="AM154" s="16" t="n">
        <v>0</v>
      </c>
      <c r="AN154" s="16" t="n">
        <v>908.453612477178</v>
      </c>
      <c r="AO154" s="16" t="n">
        <v>59.1528875228223</v>
      </c>
      <c r="AP154" s="16" t="n">
        <v>234.647112477178</v>
      </c>
      <c r="AQ154" s="14" t="n">
        <v>59.1528875228223</v>
      </c>
      <c r="AR154" s="14" t="s">
        <v>256</v>
      </c>
      <c r="AS154" s="29"/>
      <c r="AT154" s="14"/>
      <c r="AU154" s="17"/>
      <c r="AV154" s="17"/>
      <c r="AW154" s="16" t="n">
        <v>0</v>
      </c>
      <c r="AX154" s="14" t="s">
        <v>257</v>
      </c>
      <c r="AY154" s="14" t="s">
        <v>257</v>
      </c>
      <c r="AZ154" s="14" t="s">
        <v>258</v>
      </c>
      <c r="BA154" s="14" t="s">
        <v>259</v>
      </c>
      <c r="BB154" s="14" t="s">
        <v>443</v>
      </c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</row>
    <row r="155" customFormat="false" ht="15" hidden="false" customHeight="false" outlineLevel="0" collapsed="false">
      <c r="C155" s="14" t="s">
        <v>273</v>
      </c>
      <c r="D155" s="14" t="s">
        <v>274</v>
      </c>
      <c r="E155" s="14" t="s">
        <v>287</v>
      </c>
      <c r="F155" s="14" t="s">
        <v>253</v>
      </c>
      <c r="G155" s="29" t="n">
        <v>46235</v>
      </c>
      <c r="H155" s="29" t="n">
        <v>46265</v>
      </c>
      <c r="I155" s="14" t="s">
        <v>254</v>
      </c>
      <c r="J155" s="14" t="s">
        <v>288</v>
      </c>
      <c r="K155" s="14" t="n">
        <v>31</v>
      </c>
      <c r="L155" s="16" t="n">
        <v>41.63586907725</v>
      </c>
      <c r="M155" s="30" t="n">
        <v>27.9159174302794</v>
      </c>
      <c r="N155" s="16" t="n">
        <v>3.85623817944505</v>
      </c>
      <c r="O155" s="16" t="n">
        <v>-9.1912405572414</v>
      </c>
      <c r="P155" s="16" t="n">
        <v>-0.378117959337123</v>
      </c>
      <c r="Q155" s="16" t="n">
        <v>1.58095034901936</v>
      </c>
      <c r="R155" s="16" t="n">
        <v>-1.45725541770375</v>
      </c>
      <c r="S155" s="16" t="n">
        <v>-0.25</v>
      </c>
      <c r="T155" s="16" t="n">
        <v>3.35181515142353</v>
      </c>
      <c r="U155" s="16" t="n">
        <v>25</v>
      </c>
      <c r="V155" s="16" t="n">
        <v>25</v>
      </c>
      <c r="W155" s="16" t="n">
        <v>611.1875</v>
      </c>
      <c r="X155" s="16" t="n">
        <v>0</v>
      </c>
      <c r="Y155" s="16" t="n">
        <v>0</v>
      </c>
      <c r="Z155" s="16" t="n">
        <v>0</v>
      </c>
      <c r="AA155" s="16" t="n">
        <v>0</v>
      </c>
      <c r="AB155" s="16" t="n">
        <v>0</v>
      </c>
      <c r="AC155" s="16" t="n">
        <v>611.1875</v>
      </c>
      <c r="AD155" s="16" t="n">
        <v>234.647112477178</v>
      </c>
      <c r="AE155" s="16" t="n">
        <v>5.02772353547266</v>
      </c>
      <c r="AF155" s="16" t="n">
        <v>0</v>
      </c>
      <c r="AG155" s="16" t="n">
        <v>239.67483601265</v>
      </c>
      <c r="AH155" s="16" t="n">
        <v>6.05862202022952</v>
      </c>
      <c r="AI155" s="16" t="n">
        <v>6.05862202022952</v>
      </c>
      <c r="AJ155" s="16" t="n">
        <v>0.695916666666667</v>
      </c>
      <c r="AK155" s="16" t="n">
        <v>1.20833333333333</v>
      </c>
      <c r="AL155" s="16" t="n">
        <v>0.416666666666667</v>
      </c>
      <c r="AM155" s="16" t="n">
        <v>0</v>
      </c>
      <c r="AN155" s="16" t="n">
        <v>913.48133601265</v>
      </c>
      <c r="AO155" s="16" t="n">
        <v>54.1251639873497</v>
      </c>
      <c r="AP155" s="16" t="n">
        <v>239.67483601265</v>
      </c>
      <c r="AQ155" s="14" t="n">
        <v>54.1251639873497</v>
      </c>
      <c r="AR155" s="14" t="s">
        <v>256</v>
      </c>
      <c r="AS155" s="29"/>
      <c r="AT155" s="14"/>
      <c r="AU155" s="17"/>
      <c r="AV155" s="17"/>
      <c r="AW155" s="16" t="n">
        <v>0</v>
      </c>
      <c r="AX155" s="14" t="s">
        <v>257</v>
      </c>
      <c r="AY155" s="14" t="s">
        <v>257</v>
      </c>
      <c r="AZ155" s="14" t="s">
        <v>258</v>
      </c>
      <c r="BA155" s="14" t="s">
        <v>259</v>
      </c>
      <c r="BB155" s="14" t="s">
        <v>444</v>
      </c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</row>
    <row r="156" customFormat="false" ht="15" hidden="false" customHeight="false" outlineLevel="0" collapsed="false">
      <c r="C156" s="14" t="s">
        <v>273</v>
      </c>
      <c r="D156" s="14" t="s">
        <v>274</v>
      </c>
      <c r="E156" s="14" t="s">
        <v>293</v>
      </c>
      <c r="F156" s="14" t="s">
        <v>253</v>
      </c>
      <c r="G156" s="29" t="n">
        <v>46266</v>
      </c>
      <c r="H156" s="29" t="n">
        <v>46295</v>
      </c>
      <c r="I156" s="14" t="s">
        <v>254</v>
      </c>
      <c r="J156" s="14" t="s">
        <v>288</v>
      </c>
      <c r="K156" s="14" t="n">
        <v>30</v>
      </c>
      <c r="L156" s="16" t="n">
        <v>104.089672693125</v>
      </c>
      <c r="M156" s="30" t="n">
        <v>27.9159174302794</v>
      </c>
      <c r="N156" s="16" t="n">
        <v>9.64059544861262</v>
      </c>
      <c r="O156" s="16" t="n">
        <v>-9.1912405572414</v>
      </c>
      <c r="P156" s="16" t="n">
        <v>-0.945294898342807</v>
      </c>
      <c r="Q156" s="16" t="n">
        <v>3.95237587254839</v>
      </c>
      <c r="R156" s="16" t="n">
        <v>-3.64313854425938</v>
      </c>
      <c r="S156" s="16" t="n">
        <v>-0.625</v>
      </c>
      <c r="T156" s="16" t="n">
        <v>8.37953787855883</v>
      </c>
      <c r="U156" s="16" t="n">
        <v>25</v>
      </c>
      <c r="V156" s="16" t="n">
        <v>25</v>
      </c>
      <c r="W156" s="16" t="n">
        <v>611.1875</v>
      </c>
      <c r="X156" s="16" t="n">
        <v>0</v>
      </c>
      <c r="Y156" s="16" t="n">
        <v>0</v>
      </c>
      <c r="Z156" s="16" t="n">
        <v>0</v>
      </c>
      <c r="AA156" s="16" t="n">
        <v>0</v>
      </c>
      <c r="AB156" s="16" t="n">
        <v>0</v>
      </c>
      <c r="AC156" s="16" t="n">
        <v>611.1875</v>
      </c>
      <c r="AD156" s="16" t="n">
        <v>239.67483601265</v>
      </c>
      <c r="AE156" s="16" t="n">
        <v>0.0180183115159697</v>
      </c>
      <c r="AF156" s="16" t="n">
        <v>0</v>
      </c>
      <c r="AG156" s="16" t="n">
        <v>239.692854324166</v>
      </c>
      <c r="AH156" s="16" t="n">
        <v>6.07663952340813</v>
      </c>
      <c r="AI156" s="16" t="n">
        <v>6.07663952340813</v>
      </c>
      <c r="AJ156" s="16" t="n">
        <v>0.695916666666667</v>
      </c>
      <c r="AK156" s="16" t="n">
        <v>1.20833333333333</v>
      </c>
      <c r="AL156" s="16" t="n">
        <v>0.416666666666667</v>
      </c>
      <c r="AM156" s="16" t="n">
        <v>0</v>
      </c>
      <c r="AN156" s="16" t="n">
        <v>913.499354324166</v>
      </c>
      <c r="AO156" s="16" t="n">
        <v>54.1071456758337</v>
      </c>
      <c r="AP156" s="16" t="n">
        <v>239.692854324166</v>
      </c>
      <c r="AQ156" s="14" t="n">
        <v>54.1071456758337</v>
      </c>
      <c r="AR156" s="14" t="s">
        <v>256</v>
      </c>
      <c r="AS156" s="29"/>
      <c r="AT156" s="14"/>
      <c r="AU156" s="17"/>
      <c r="AV156" s="17"/>
      <c r="AW156" s="16" t="n">
        <v>0</v>
      </c>
      <c r="AX156" s="14" t="s">
        <v>257</v>
      </c>
      <c r="AY156" s="14" t="s">
        <v>257</v>
      </c>
      <c r="AZ156" s="14" t="s">
        <v>258</v>
      </c>
      <c r="BA156" s="14" t="s">
        <v>259</v>
      </c>
      <c r="BB156" s="14" t="s">
        <v>445</v>
      </c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</row>
    <row r="157" customFormat="false" ht="15" hidden="false" customHeight="false" outlineLevel="0" collapsed="false">
      <c r="C157" s="14" t="s">
        <v>273</v>
      </c>
      <c r="D157" s="14" t="s">
        <v>274</v>
      </c>
      <c r="E157" s="14" t="s">
        <v>297</v>
      </c>
      <c r="F157" s="14" t="s">
        <v>253</v>
      </c>
      <c r="G157" s="29" t="n">
        <v>46296</v>
      </c>
      <c r="H157" s="29" t="n">
        <v>46326</v>
      </c>
      <c r="I157" s="14" t="s">
        <v>254</v>
      </c>
      <c r="J157" s="14" t="s">
        <v>288</v>
      </c>
      <c r="K157" s="14" t="n">
        <v>31</v>
      </c>
      <c r="L157" s="16" t="n">
        <v>270.633149002125</v>
      </c>
      <c r="M157" s="30" t="n">
        <v>27.9159174302794</v>
      </c>
      <c r="N157" s="16" t="n">
        <v>25.0655481663928</v>
      </c>
      <c r="O157" s="16" t="n">
        <v>-9.1912405572414</v>
      </c>
      <c r="P157" s="16" t="n">
        <v>-2.4577667356913</v>
      </c>
      <c r="Q157" s="16" t="n">
        <v>10.2761772686258</v>
      </c>
      <c r="R157" s="16" t="n">
        <v>-9.47216021507438</v>
      </c>
      <c r="S157" s="16" t="n">
        <v>-1.625</v>
      </c>
      <c r="T157" s="16" t="n">
        <v>21.786798484253</v>
      </c>
      <c r="U157" s="16" t="n">
        <v>25</v>
      </c>
      <c r="V157" s="16" t="n">
        <v>25</v>
      </c>
      <c r="W157" s="16" t="n">
        <v>611.1875</v>
      </c>
      <c r="X157" s="16" t="n">
        <v>11.90625</v>
      </c>
      <c r="Y157" s="16" t="n">
        <v>11.90625</v>
      </c>
      <c r="Z157" s="16" t="n">
        <v>0</v>
      </c>
      <c r="AA157" s="16" t="n">
        <v>0</v>
      </c>
      <c r="AB157" s="16" t="n">
        <v>0</v>
      </c>
      <c r="AC157" s="16" t="n">
        <v>599.28125</v>
      </c>
      <c r="AD157" s="16" t="n">
        <v>239.692854324166</v>
      </c>
      <c r="AE157" s="16" t="n">
        <v>0</v>
      </c>
      <c r="AF157" s="16" t="n">
        <v>1.53090981194881</v>
      </c>
      <c r="AG157" s="16" t="n">
        <v>238.161944512217</v>
      </c>
      <c r="AH157" s="16" t="n">
        <v>6.02872200563747</v>
      </c>
      <c r="AI157" s="16" t="n">
        <v>6.02872200563747</v>
      </c>
      <c r="AJ157" s="16" t="n">
        <v>0.695916666666667</v>
      </c>
      <c r="AK157" s="16" t="n">
        <v>1.20833333333333</v>
      </c>
      <c r="AL157" s="16" t="n">
        <v>0.416666666666667</v>
      </c>
      <c r="AM157" s="16" t="n">
        <v>0</v>
      </c>
      <c r="AN157" s="16" t="n">
        <v>900.062194512218</v>
      </c>
      <c r="AO157" s="16" t="n">
        <v>55.6380554877825</v>
      </c>
      <c r="AP157" s="16" t="n">
        <v>238.161944512217</v>
      </c>
      <c r="AQ157" s="14" t="n">
        <v>55.6380554877825</v>
      </c>
      <c r="AR157" s="14" t="s">
        <v>372</v>
      </c>
      <c r="AS157" s="29"/>
      <c r="AT157" s="14" t="n">
        <v>147.914106394588</v>
      </c>
      <c r="AU157" s="17" t="n">
        <v>6.08503283730854</v>
      </c>
      <c r="AV157" s="17"/>
      <c r="AW157" s="16" t="n">
        <v>0</v>
      </c>
      <c r="AX157" s="14" t="s">
        <v>257</v>
      </c>
      <c r="AY157" s="14" t="s">
        <v>257</v>
      </c>
      <c r="AZ157" s="14" t="s">
        <v>373</v>
      </c>
      <c r="BA157" s="14" t="s">
        <v>259</v>
      </c>
      <c r="BB157" s="14" t="s">
        <v>446</v>
      </c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</row>
    <row r="158" customFormat="false" ht="15" hidden="false" customHeight="false" outlineLevel="0" collapsed="false">
      <c r="C158" s="14" t="s">
        <v>273</v>
      </c>
      <c r="D158" s="14" t="s">
        <v>274</v>
      </c>
      <c r="E158" s="14" t="s">
        <v>301</v>
      </c>
      <c r="F158" s="14" t="s">
        <v>253</v>
      </c>
      <c r="G158" s="29" t="n">
        <v>46327</v>
      </c>
      <c r="H158" s="29" t="n">
        <v>46356</v>
      </c>
      <c r="I158" s="14" t="s">
        <v>302</v>
      </c>
      <c r="J158" s="14" t="s">
        <v>303</v>
      </c>
      <c r="K158" s="14" t="n">
        <v>30</v>
      </c>
      <c r="L158" s="16" t="n">
        <v>34.0020398342523</v>
      </c>
      <c r="M158" s="30" t="n">
        <v>22.9096754759419</v>
      </c>
      <c r="N158" s="16" t="n">
        <v>1.44698246850644</v>
      </c>
      <c r="O158" s="16" t="n">
        <v>-7.50605029941072</v>
      </c>
      <c r="P158" s="16" t="n">
        <v>0</v>
      </c>
      <c r="Q158" s="16" t="n">
        <v>1.35681565319945</v>
      </c>
      <c r="R158" s="16" t="n">
        <v>-1.19007139419883</v>
      </c>
      <c r="S158" s="16" t="n">
        <v>-0.25</v>
      </c>
      <c r="T158" s="16" t="n">
        <v>1.36372672750706</v>
      </c>
      <c r="U158" s="16" t="n">
        <v>25</v>
      </c>
      <c r="V158" s="16" t="n">
        <v>25</v>
      </c>
      <c r="W158" s="16" t="n">
        <v>599.28125</v>
      </c>
      <c r="X158" s="16" t="n">
        <v>0</v>
      </c>
      <c r="Y158" s="16" t="n">
        <v>0</v>
      </c>
      <c r="Z158" s="16" t="n">
        <v>0</v>
      </c>
      <c r="AA158" s="16" t="n">
        <v>0</v>
      </c>
      <c r="AB158" s="16" t="n">
        <v>0</v>
      </c>
      <c r="AC158" s="16" t="n">
        <v>599.28125</v>
      </c>
      <c r="AD158" s="16" t="n">
        <v>238.161944512217</v>
      </c>
      <c r="AE158" s="16" t="n">
        <v>6.93603083005668</v>
      </c>
      <c r="AF158" s="16" t="n">
        <v>0</v>
      </c>
      <c r="AG158" s="16" t="n">
        <v>245.097975342274</v>
      </c>
      <c r="AH158" s="16" t="n">
        <v>6.00550755756373</v>
      </c>
      <c r="AI158" s="16" t="n">
        <v>6.00550755756373</v>
      </c>
      <c r="AJ158" s="16" t="n">
        <v>0.66925</v>
      </c>
      <c r="AK158" s="16" t="n">
        <v>1.20833333333333</v>
      </c>
      <c r="AL158" s="16" t="n">
        <v>0.416666666666667</v>
      </c>
      <c r="AM158" s="16" t="n">
        <v>0</v>
      </c>
      <c r="AN158" s="16" t="n">
        <v>906.998225342274</v>
      </c>
      <c r="AO158" s="16" t="n">
        <v>48.7020246577258</v>
      </c>
      <c r="AP158" s="16" t="n">
        <v>245.097975342274</v>
      </c>
      <c r="AQ158" s="14" t="n">
        <v>48.7020246577258</v>
      </c>
      <c r="AR158" s="14" t="s">
        <v>372</v>
      </c>
      <c r="AS158" s="29"/>
      <c r="AT158" s="14" t="n">
        <v>138.686080959305</v>
      </c>
      <c r="AU158" s="17" t="n">
        <v>6.5399369501862</v>
      </c>
      <c r="AV158" s="17"/>
      <c r="AW158" s="16" t="n">
        <v>0</v>
      </c>
      <c r="AX158" s="14" t="s">
        <v>257</v>
      </c>
      <c r="AY158" s="14" t="s">
        <v>257</v>
      </c>
      <c r="AZ158" s="14" t="s">
        <v>373</v>
      </c>
      <c r="BA158" s="14" t="s">
        <v>259</v>
      </c>
      <c r="BB158" s="14" t="s">
        <v>447</v>
      </c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</row>
    <row r="159" customFormat="false" ht="15" hidden="false" customHeight="false" outlineLevel="0" collapsed="false">
      <c r="C159" s="14" t="s">
        <v>273</v>
      </c>
      <c r="D159" s="14" t="s">
        <v>274</v>
      </c>
      <c r="E159" s="14" t="s">
        <v>305</v>
      </c>
      <c r="F159" s="14" t="s">
        <v>253</v>
      </c>
      <c r="G159" s="29" t="n">
        <v>46357</v>
      </c>
      <c r="H159" s="29" t="n">
        <v>46387</v>
      </c>
      <c r="I159" s="14" t="s">
        <v>302</v>
      </c>
      <c r="J159" s="14" t="s">
        <v>303</v>
      </c>
      <c r="K159" s="14" t="n">
        <v>31</v>
      </c>
      <c r="L159" s="16" t="n">
        <v>85.0050995856308</v>
      </c>
      <c r="M159" s="30" t="n">
        <v>22.9096754759419</v>
      </c>
      <c r="N159" s="16" t="n">
        <v>3.6174561712661</v>
      </c>
      <c r="O159" s="16" t="n">
        <v>-7.50605029941072</v>
      </c>
      <c r="P159" s="16" t="n">
        <v>0</v>
      </c>
      <c r="Q159" s="16" t="n">
        <v>3.39203913299863</v>
      </c>
      <c r="R159" s="16" t="n">
        <v>-2.97517848549708</v>
      </c>
      <c r="S159" s="16" t="n">
        <v>-0.625</v>
      </c>
      <c r="T159" s="16" t="n">
        <v>3.40931681876765</v>
      </c>
      <c r="U159" s="16" t="n">
        <v>25</v>
      </c>
      <c r="V159" s="16" t="n">
        <v>25</v>
      </c>
      <c r="W159" s="16" t="n">
        <v>599.28125</v>
      </c>
      <c r="X159" s="16" t="n">
        <v>0</v>
      </c>
      <c r="Y159" s="16" t="n">
        <v>0</v>
      </c>
      <c r="Z159" s="16" t="n">
        <v>0</v>
      </c>
      <c r="AA159" s="16" t="n">
        <v>0</v>
      </c>
      <c r="AB159" s="16" t="n">
        <v>0</v>
      </c>
      <c r="AC159" s="16" t="n">
        <v>599.28125</v>
      </c>
      <c r="AD159" s="16" t="n">
        <v>245.097975342274</v>
      </c>
      <c r="AE159" s="16" t="n">
        <v>4.93282243566292</v>
      </c>
      <c r="AF159" s="16" t="n">
        <v>0</v>
      </c>
      <c r="AG159" s="16" t="n">
        <v>250.030797777937</v>
      </c>
      <c r="AH159" s="16" t="n">
        <v>6.04788925443057</v>
      </c>
      <c r="AI159" s="16" t="n">
        <v>6.04788925443057</v>
      </c>
      <c r="AJ159" s="16" t="n">
        <v>0.66925</v>
      </c>
      <c r="AK159" s="16" t="n">
        <v>1.20833333333333</v>
      </c>
      <c r="AL159" s="16" t="n">
        <v>0.416666666666667</v>
      </c>
      <c r="AM159" s="16" t="n">
        <v>0</v>
      </c>
      <c r="AN159" s="16" t="n">
        <v>911.931047777937</v>
      </c>
      <c r="AO159" s="16" t="n">
        <v>43.7692022220629</v>
      </c>
      <c r="AP159" s="16" t="n">
        <v>250.030797777937</v>
      </c>
      <c r="AQ159" s="14" t="n">
        <v>43.7692022220629</v>
      </c>
      <c r="AR159" s="14" t="s">
        <v>372</v>
      </c>
      <c r="AS159" s="29"/>
      <c r="AT159" s="14" t="n">
        <v>131.628529226782</v>
      </c>
      <c r="AU159" s="17" t="n">
        <v>6.92806531482835</v>
      </c>
      <c r="AV159" s="17"/>
      <c r="AW159" s="16" t="n">
        <v>0</v>
      </c>
      <c r="AX159" s="14" t="s">
        <v>257</v>
      </c>
      <c r="AY159" s="14" t="s">
        <v>257</v>
      </c>
      <c r="AZ159" s="14" t="s">
        <v>373</v>
      </c>
      <c r="BA159" s="14" t="s">
        <v>259</v>
      </c>
      <c r="BB159" s="14" t="s">
        <v>448</v>
      </c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</row>
    <row r="160" customFormat="false" ht="15" hidden="false" customHeight="false" outlineLevel="0" collapsed="false">
      <c r="C160" s="14" t="s">
        <v>273</v>
      </c>
      <c r="D160" s="14" t="s">
        <v>274</v>
      </c>
      <c r="E160" s="14" t="s">
        <v>307</v>
      </c>
      <c r="F160" s="14" t="s">
        <v>253</v>
      </c>
      <c r="G160" s="29" t="n">
        <v>46388</v>
      </c>
      <c r="H160" s="29" t="n">
        <v>46418</v>
      </c>
      <c r="I160" s="14" t="s">
        <v>302</v>
      </c>
      <c r="J160" s="14" t="s">
        <v>303</v>
      </c>
      <c r="K160" s="14" t="n">
        <v>31</v>
      </c>
      <c r="L160" s="16" t="n">
        <v>221.01325892264</v>
      </c>
      <c r="M160" s="30" t="n">
        <v>22.9096754759419</v>
      </c>
      <c r="N160" s="16" t="n">
        <v>9.40538604529186</v>
      </c>
      <c r="O160" s="16" t="n">
        <v>-7.50605029941072</v>
      </c>
      <c r="P160" s="16" t="n">
        <v>0</v>
      </c>
      <c r="Q160" s="16" t="n">
        <v>8.81930174579643</v>
      </c>
      <c r="R160" s="16" t="n">
        <v>-7.73546406229241</v>
      </c>
      <c r="S160" s="16" t="n">
        <v>-1.625</v>
      </c>
      <c r="T160" s="16" t="n">
        <v>8.86422372879588</v>
      </c>
      <c r="U160" s="16" t="n">
        <v>25</v>
      </c>
      <c r="V160" s="16" t="n">
        <v>25</v>
      </c>
      <c r="W160" s="16" t="n">
        <v>599.28125</v>
      </c>
      <c r="X160" s="16" t="n">
        <v>11.90625</v>
      </c>
      <c r="Y160" s="16" t="n">
        <v>11.90625</v>
      </c>
      <c r="Z160" s="16" t="n">
        <v>0</v>
      </c>
      <c r="AA160" s="16" t="n">
        <v>0</v>
      </c>
      <c r="AB160" s="16" t="n">
        <v>0</v>
      </c>
      <c r="AC160" s="16" t="n">
        <v>587.375</v>
      </c>
      <c r="AD160" s="16" t="n">
        <v>250.030797777937</v>
      </c>
      <c r="AE160" s="16" t="n">
        <v>11.3999719779812</v>
      </c>
      <c r="AF160" s="16" t="n">
        <v>0</v>
      </c>
      <c r="AG160" s="16" t="n">
        <v>261.430769755918</v>
      </c>
      <c r="AH160" s="16" t="n">
        <v>6.06369570677712</v>
      </c>
      <c r="AI160" s="16" t="n">
        <v>6.06369570677712</v>
      </c>
      <c r="AJ160" s="16" t="n">
        <v>0.66925</v>
      </c>
      <c r="AK160" s="16" t="n">
        <v>1.20833333333333</v>
      </c>
      <c r="AL160" s="16" t="n">
        <v>0.416666666666667</v>
      </c>
      <c r="AM160" s="16" t="n">
        <v>0</v>
      </c>
      <c r="AN160" s="16" t="n">
        <v>911.424769755918</v>
      </c>
      <c r="AO160" s="16" t="n">
        <v>32.3692302440817</v>
      </c>
      <c r="AP160" s="16" t="n">
        <v>261.430769755918</v>
      </c>
      <c r="AQ160" s="14" t="n">
        <v>32.3692302440817</v>
      </c>
      <c r="AR160" s="14" t="s">
        <v>372</v>
      </c>
      <c r="AS160" s="29"/>
      <c r="AT160" s="14" t="n">
        <v>130.358907368284</v>
      </c>
      <c r="AU160" s="17" t="n">
        <v>6.99165701950079</v>
      </c>
      <c r="AV160" s="17" t="n">
        <v>1.85621734656038</v>
      </c>
      <c r="AW160" s="16" t="n">
        <v>0</v>
      </c>
      <c r="AX160" s="14" t="s">
        <v>257</v>
      </c>
      <c r="AY160" s="14" t="s">
        <v>257</v>
      </c>
      <c r="AZ160" s="14" t="s">
        <v>373</v>
      </c>
      <c r="BA160" s="14" t="s">
        <v>259</v>
      </c>
      <c r="BB160" s="14" t="s">
        <v>449</v>
      </c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</row>
    <row r="161" customFormat="false" ht="15" hidden="false" customHeight="false" outlineLevel="0" collapsed="false">
      <c r="C161" s="14" t="s">
        <v>273</v>
      </c>
      <c r="D161" s="14" t="s">
        <v>274</v>
      </c>
      <c r="E161" s="14" t="s">
        <v>309</v>
      </c>
      <c r="F161" s="14" t="s">
        <v>253</v>
      </c>
      <c r="G161" s="29" t="n">
        <v>46419</v>
      </c>
      <c r="H161" s="29" t="n">
        <v>46446</v>
      </c>
      <c r="I161" s="14" t="s">
        <v>302</v>
      </c>
      <c r="J161" s="14" t="s">
        <v>255</v>
      </c>
      <c r="K161" s="14" t="n">
        <v>28</v>
      </c>
      <c r="L161" s="16" t="n">
        <v>38.4587069925379</v>
      </c>
      <c r="M161" s="30" t="n">
        <v>28.8693217195837</v>
      </c>
      <c r="N161" s="16" t="n">
        <v>3.9286421897728</v>
      </c>
      <c r="O161" s="16" t="n">
        <v>-8.48987268244684</v>
      </c>
      <c r="P161" s="16" t="n">
        <v>-0.440931163937214</v>
      </c>
      <c r="Q161" s="16" t="n">
        <v>0.000250145414212653</v>
      </c>
      <c r="R161" s="16" t="n">
        <v>-1.34605474473883</v>
      </c>
      <c r="S161" s="16" t="n">
        <v>0</v>
      </c>
      <c r="T161" s="16" t="n">
        <v>2.14190642651097</v>
      </c>
      <c r="U161" s="16" t="n">
        <v>25</v>
      </c>
      <c r="V161" s="16" t="n">
        <v>25</v>
      </c>
      <c r="W161" s="16" t="n">
        <v>587.375</v>
      </c>
      <c r="X161" s="16" t="n">
        <v>0</v>
      </c>
      <c r="Y161" s="16" t="n">
        <v>0</v>
      </c>
      <c r="Z161" s="16" t="n">
        <v>0</v>
      </c>
      <c r="AA161" s="16" t="n">
        <v>0</v>
      </c>
      <c r="AB161" s="16" t="n">
        <v>0</v>
      </c>
      <c r="AC161" s="16" t="n">
        <v>587.375</v>
      </c>
      <c r="AD161" s="16" t="n">
        <v>261.430769755918</v>
      </c>
      <c r="AE161" s="16" t="n">
        <v>6.2365009513095</v>
      </c>
      <c r="AF161" s="16" t="n">
        <v>0</v>
      </c>
      <c r="AG161" s="16" t="n">
        <v>267.667270707228</v>
      </c>
      <c r="AH161" s="16" t="n">
        <v>6.08415737782047</v>
      </c>
      <c r="AI161" s="16" t="n">
        <v>6.08415737782047</v>
      </c>
      <c r="AJ161" s="16" t="n">
        <v>0.66925</v>
      </c>
      <c r="AK161" s="16" t="n">
        <v>1.20833333333333</v>
      </c>
      <c r="AL161" s="16" t="n">
        <v>0.416666666666667</v>
      </c>
      <c r="AM161" s="16" t="n">
        <v>0</v>
      </c>
      <c r="AN161" s="16" t="n">
        <v>917.661270707228</v>
      </c>
      <c r="AO161" s="16" t="n">
        <v>26.1327292927722</v>
      </c>
      <c r="AP161" s="16" t="n">
        <v>267.667270707228</v>
      </c>
      <c r="AQ161" s="14" t="n">
        <v>26.1327292927722</v>
      </c>
      <c r="AR161" s="14" t="s">
        <v>372</v>
      </c>
      <c r="AS161" s="29"/>
      <c r="AT161" s="14" t="n">
        <v>130.358809149774</v>
      </c>
      <c r="AU161" s="17" t="n">
        <v>7.03950332695117</v>
      </c>
      <c r="AV161" s="17" t="n">
        <v>1.82373560974257</v>
      </c>
      <c r="AW161" s="16" t="n">
        <v>0</v>
      </c>
      <c r="AX161" s="14" t="s">
        <v>257</v>
      </c>
      <c r="AY161" s="14" t="s">
        <v>257</v>
      </c>
      <c r="AZ161" s="14" t="s">
        <v>373</v>
      </c>
      <c r="BA161" s="14" t="s">
        <v>259</v>
      </c>
      <c r="BB161" s="14" t="s">
        <v>450</v>
      </c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</row>
    <row r="162" customFormat="false" ht="15" hidden="false" customHeight="false" outlineLevel="0" collapsed="false">
      <c r="C162" s="14" t="s">
        <v>273</v>
      </c>
      <c r="D162" s="14" t="s">
        <v>274</v>
      </c>
      <c r="E162" s="14" t="s">
        <v>311</v>
      </c>
      <c r="F162" s="14" t="s">
        <v>253</v>
      </c>
      <c r="G162" s="29" t="n">
        <v>46447</v>
      </c>
      <c r="H162" s="29" t="n">
        <v>46477</v>
      </c>
      <c r="I162" s="14" t="s">
        <v>302</v>
      </c>
      <c r="J162" s="14" t="s">
        <v>255</v>
      </c>
      <c r="K162" s="14" t="n">
        <v>31</v>
      </c>
      <c r="L162" s="16" t="n">
        <v>96.1467674813447</v>
      </c>
      <c r="M162" s="30" t="n">
        <v>28.8693217195837</v>
      </c>
      <c r="N162" s="16" t="n">
        <v>9.821605474432</v>
      </c>
      <c r="O162" s="16" t="n">
        <v>-8.48987268244684</v>
      </c>
      <c r="P162" s="16" t="n">
        <v>-1.10232790984303</v>
      </c>
      <c r="Q162" s="16" t="n">
        <v>0.000625363535531634</v>
      </c>
      <c r="R162" s="16" t="n">
        <v>-3.36513686184707</v>
      </c>
      <c r="S162" s="16" t="n">
        <v>0</v>
      </c>
      <c r="T162" s="16" t="n">
        <v>5.35476606627743</v>
      </c>
      <c r="U162" s="16" t="n">
        <v>25</v>
      </c>
      <c r="V162" s="16" t="n">
        <v>25</v>
      </c>
      <c r="W162" s="16" t="n">
        <v>587.375</v>
      </c>
      <c r="X162" s="16" t="n">
        <v>0</v>
      </c>
      <c r="Y162" s="16" t="n">
        <v>0</v>
      </c>
      <c r="Z162" s="16" t="n">
        <v>0</v>
      </c>
      <c r="AA162" s="16" t="n">
        <v>0</v>
      </c>
      <c r="AB162" s="16" t="n">
        <v>0</v>
      </c>
      <c r="AC162" s="16" t="n">
        <v>587.375</v>
      </c>
      <c r="AD162" s="16" t="n">
        <v>267.667270707228</v>
      </c>
      <c r="AE162" s="16" t="n">
        <v>3.05682623403228</v>
      </c>
      <c r="AF162" s="16" t="n">
        <v>0</v>
      </c>
      <c r="AG162" s="16" t="n">
        <v>270.72409694126</v>
      </c>
      <c r="AH162" s="16" t="n">
        <v>6.11734230030971</v>
      </c>
      <c r="AI162" s="16" t="n">
        <v>6.11734230030971</v>
      </c>
      <c r="AJ162" s="16" t="n">
        <v>0.66925</v>
      </c>
      <c r="AK162" s="16" t="n">
        <v>1.20833333333333</v>
      </c>
      <c r="AL162" s="16" t="n">
        <v>0.416666666666667</v>
      </c>
      <c r="AM162" s="16" t="n">
        <v>0</v>
      </c>
      <c r="AN162" s="16" t="n">
        <v>920.71809694126</v>
      </c>
      <c r="AO162" s="16" t="n">
        <v>23.0759030587399</v>
      </c>
      <c r="AP162" s="16" t="n">
        <v>270.72409694126</v>
      </c>
      <c r="AQ162" s="14" t="n">
        <v>23.0759030587399</v>
      </c>
      <c r="AR162" s="14" t="s">
        <v>372</v>
      </c>
      <c r="AS162" s="29"/>
      <c r="AT162" s="14" t="n">
        <v>130.358563603499</v>
      </c>
      <c r="AU162" s="17" t="n">
        <v>7.06296595704856</v>
      </c>
      <c r="AV162" s="17" t="n">
        <v>1.79797274806637</v>
      </c>
      <c r="AW162" s="16" t="n">
        <v>0</v>
      </c>
      <c r="AX162" s="14" t="s">
        <v>257</v>
      </c>
      <c r="AY162" s="14" t="s">
        <v>257</v>
      </c>
      <c r="AZ162" s="14" t="s">
        <v>373</v>
      </c>
      <c r="BA162" s="14" t="s">
        <v>259</v>
      </c>
      <c r="BB162" s="14" t="s">
        <v>451</v>
      </c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</row>
    <row r="163" customFormat="false" ht="15" hidden="false" customHeight="false" outlineLevel="0" collapsed="false">
      <c r="C163" s="14" t="s">
        <v>273</v>
      </c>
      <c r="D163" s="14" t="s">
        <v>274</v>
      </c>
      <c r="E163" s="14" t="s">
        <v>313</v>
      </c>
      <c r="F163" s="14" t="s">
        <v>253</v>
      </c>
      <c r="G163" s="29" t="n">
        <v>46478</v>
      </c>
      <c r="H163" s="29" t="n">
        <v>46507</v>
      </c>
      <c r="I163" s="14" t="s">
        <v>302</v>
      </c>
      <c r="J163" s="14" t="s">
        <v>255</v>
      </c>
      <c r="K163" s="14" t="n">
        <v>30</v>
      </c>
      <c r="L163" s="16" t="n">
        <v>249.981595451496</v>
      </c>
      <c r="M163" s="30" t="n">
        <v>28.8693217195837</v>
      </c>
      <c r="N163" s="16" t="n">
        <v>25.5361742335232</v>
      </c>
      <c r="O163" s="16" t="n">
        <v>-8.48987268244684</v>
      </c>
      <c r="P163" s="16" t="n">
        <v>-2.86605256559189</v>
      </c>
      <c r="Q163" s="16" t="n">
        <v>0.00162594519238225</v>
      </c>
      <c r="R163" s="16" t="n">
        <v>-8.74935584080237</v>
      </c>
      <c r="S163" s="16" t="n">
        <v>0</v>
      </c>
      <c r="T163" s="16" t="n">
        <v>13.9223917723213</v>
      </c>
      <c r="U163" s="16" t="n">
        <v>25</v>
      </c>
      <c r="V163" s="16" t="n">
        <v>25</v>
      </c>
      <c r="W163" s="16" t="n">
        <v>587.375</v>
      </c>
      <c r="X163" s="16" t="n">
        <v>11.90625</v>
      </c>
      <c r="Y163" s="16" t="n">
        <v>11.90625</v>
      </c>
      <c r="Z163" s="16" t="n">
        <v>0</v>
      </c>
      <c r="AA163" s="16" t="n">
        <v>0</v>
      </c>
      <c r="AB163" s="16" t="n">
        <v>0</v>
      </c>
      <c r="AC163" s="16" t="n">
        <v>575.46875</v>
      </c>
      <c r="AD163" s="16" t="n">
        <v>270.72409694126</v>
      </c>
      <c r="AE163" s="16" t="n">
        <v>6.38665639617385</v>
      </c>
      <c r="AF163" s="16" t="n">
        <v>0</v>
      </c>
      <c r="AG163" s="16" t="n">
        <v>277.110753337434</v>
      </c>
      <c r="AH163" s="16" t="n">
        <v>6.10854816849516</v>
      </c>
      <c r="AI163" s="16" t="n">
        <v>6.10854816849516</v>
      </c>
      <c r="AJ163" s="16" t="n">
        <v>0.66925</v>
      </c>
      <c r="AK163" s="16" t="n">
        <v>1.20833333333333</v>
      </c>
      <c r="AL163" s="16" t="n">
        <v>0.416666666666667</v>
      </c>
      <c r="AM163" s="16" t="n">
        <v>0</v>
      </c>
      <c r="AN163" s="16" t="n">
        <v>915.198503337434</v>
      </c>
      <c r="AO163" s="16" t="n">
        <v>16.6892466625661</v>
      </c>
      <c r="AP163" s="16" t="n">
        <v>277.110753337434</v>
      </c>
      <c r="AQ163" s="14" t="n">
        <v>16.6892466625661</v>
      </c>
      <c r="AR163" s="14" t="s">
        <v>372</v>
      </c>
      <c r="AS163" s="29"/>
      <c r="AT163" s="14" t="n">
        <v>130.357925183182</v>
      </c>
      <c r="AU163" s="17" t="n">
        <v>7.02065871370209</v>
      </c>
      <c r="AV163" s="17" t="n">
        <v>1.78746682076794</v>
      </c>
      <c r="AW163" s="16" t="n">
        <v>0</v>
      </c>
      <c r="AX163" s="14" t="s">
        <v>257</v>
      </c>
      <c r="AY163" s="14" t="s">
        <v>257</v>
      </c>
      <c r="AZ163" s="14" t="s">
        <v>373</v>
      </c>
      <c r="BA163" s="14" t="s">
        <v>259</v>
      </c>
      <c r="BB163" s="14" t="s">
        <v>452</v>
      </c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</row>
    <row r="164" customFormat="false" ht="15" hidden="false" customHeight="false" outlineLevel="0" collapsed="false">
      <c r="C164" s="14" t="s">
        <v>273</v>
      </c>
      <c r="D164" s="14" t="s">
        <v>274</v>
      </c>
      <c r="E164" s="14" t="s">
        <v>315</v>
      </c>
      <c r="F164" s="14" t="s">
        <v>253</v>
      </c>
      <c r="G164" s="29" t="n">
        <v>46508</v>
      </c>
      <c r="H164" s="29" t="n">
        <v>46538</v>
      </c>
      <c r="I164" s="14" t="s">
        <v>302</v>
      </c>
      <c r="J164" s="14" t="s">
        <v>271</v>
      </c>
      <c r="K164" s="14" t="n">
        <v>31</v>
      </c>
      <c r="L164" s="16" t="n">
        <v>42.0961001160614</v>
      </c>
      <c r="M164" s="30" t="n">
        <v>27.6901735836919</v>
      </c>
      <c r="N164" s="16" t="n">
        <v>3.80383458235193</v>
      </c>
      <c r="O164" s="16" t="n">
        <v>-9.29283791267971</v>
      </c>
      <c r="P164" s="16" t="n">
        <v>-0.35854022865465</v>
      </c>
      <c r="Q164" s="16" t="n">
        <v>0.000276025513253023</v>
      </c>
      <c r="R164" s="16" t="n">
        <v>-1.47336350406215</v>
      </c>
      <c r="S164" s="16" t="n">
        <v>0</v>
      </c>
      <c r="T164" s="16" t="n">
        <v>1.97220687514838</v>
      </c>
      <c r="U164" s="16" t="n">
        <v>25</v>
      </c>
      <c r="V164" s="16" t="n">
        <v>25</v>
      </c>
      <c r="W164" s="16" t="n">
        <v>575.46875</v>
      </c>
      <c r="X164" s="16" t="n">
        <v>0</v>
      </c>
      <c r="Y164" s="16" t="n">
        <v>0</v>
      </c>
      <c r="Z164" s="16" t="n">
        <v>0</v>
      </c>
      <c r="AA164" s="16" t="n">
        <v>0</v>
      </c>
      <c r="AB164" s="16" t="n">
        <v>0</v>
      </c>
      <c r="AC164" s="16" t="n">
        <v>575.46875</v>
      </c>
      <c r="AD164" s="16" t="n">
        <v>277.110753337434</v>
      </c>
      <c r="AE164" s="16" t="n">
        <v>6.43385597188606</v>
      </c>
      <c r="AF164" s="16" t="n">
        <v>0</v>
      </c>
      <c r="AG164" s="16" t="n">
        <v>283.54460930932</v>
      </c>
      <c r="AH164" s="16" t="n">
        <v>6.11181284703444</v>
      </c>
      <c r="AI164" s="16" t="n">
        <v>6.11181284703444</v>
      </c>
      <c r="AJ164" s="16" t="n">
        <v>0.66925</v>
      </c>
      <c r="AK164" s="16" t="n">
        <v>1.20833333333333</v>
      </c>
      <c r="AL164" s="16" t="n">
        <v>0.416666666666667</v>
      </c>
      <c r="AM164" s="16" t="n">
        <v>0</v>
      </c>
      <c r="AN164" s="16" t="n">
        <v>921.63235930932</v>
      </c>
      <c r="AO164" s="16" t="n">
        <v>10.25539069068</v>
      </c>
      <c r="AP164" s="16" t="n">
        <v>283.54460930932</v>
      </c>
      <c r="AQ164" s="14" t="n">
        <v>10.25539069068</v>
      </c>
      <c r="AR164" s="14" t="s">
        <v>372</v>
      </c>
      <c r="AS164" s="29"/>
      <c r="AT164" s="14" t="n">
        <v>130.35783008494</v>
      </c>
      <c r="AU164" s="17" t="n">
        <v>7.07001918265125</v>
      </c>
      <c r="AV164" s="17" t="n">
        <v>1.78755806607873</v>
      </c>
      <c r="AW164" s="16" t="n">
        <v>0</v>
      </c>
      <c r="AX164" s="14" t="s">
        <v>257</v>
      </c>
      <c r="AY164" s="14" t="s">
        <v>257</v>
      </c>
      <c r="AZ164" s="14" t="s">
        <v>373</v>
      </c>
      <c r="BA164" s="14" t="s">
        <v>259</v>
      </c>
      <c r="BB164" s="14" t="s">
        <v>453</v>
      </c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</row>
    <row r="165" customFormat="false" ht="15" hidden="false" customHeight="false" outlineLevel="0" collapsed="false">
      <c r="C165" s="14" t="s">
        <v>273</v>
      </c>
      <c r="D165" s="14" t="s">
        <v>274</v>
      </c>
      <c r="E165" s="14" t="s">
        <v>317</v>
      </c>
      <c r="F165" s="14" t="s">
        <v>253</v>
      </c>
      <c r="G165" s="29" t="n">
        <v>46539</v>
      </c>
      <c r="H165" s="29" t="n">
        <v>46568</v>
      </c>
      <c r="I165" s="14" t="s">
        <v>302</v>
      </c>
      <c r="J165" s="14" t="s">
        <v>271</v>
      </c>
      <c r="K165" s="14" t="n">
        <v>30</v>
      </c>
      <c r="L165" s="16" t="n">
        <v>105.240250290153</v>
      </c>
      <c r="M165" s="30" t="n">
        <v>27.6901735836919</v>
      </c>
      <c r="N165" s="16" t="n">
        <v>9.50958645587982</v>
      </c>
      <c r="O165" s="16" t="n">
        <v>-9.29283791267971</v>
      </c>
      <c r="P165" s="16" t="n">
        <v>-0.896350571636625</v>
      </c>
      <c r="Q165" s="16" t="n">
        <v>0.000690063783132557</v>
      </c>
      <c r="R165" s="16" t="n">
        <v>-3.68340876015537</v>
      </c>
      <c r="S165" s="16" t="n">
        <v>0</v>
      </c>
      <c r="T165" s="16" t="n">
        <v>4.93051718787096</v>
      </c>
      <c r="U165" s="16" t="n">
        <v>25</v>
      </c>
      <c r="V165" s="16" t="n">
        <v>25</v>
      </c>
      <c r="W165" s="16" t="n">
        <v>575.46875</v>
      </c>
      <c r="X165" s="16" t="n">
        <v>0</v>
      </c>
      <c r="Y165" s="16" t="n">
        <v>0</v>
      </c>
      <c r="Z165" s="16" t="n">
        <v>0</v>
      </c>
      <c r="AA165" s="16" t="n">
        <v>0</v>
      </c>
      <c r="AB165" s="16" t="n">
        <v>0</v>
      </c>
      <c r="AC165" s="16" t="n">
        <v>575.46875</v>
      </c>
      <c r="AD165" s="16" t="n">
        <v>283.54460930932</v>
      </c>
      <c r="AE165" s="16" t="n">
        <v>3.51105728692313</v>
      </c>
      <c r="AF165" s="16" t="n">
        <v>0</v>
      </c>
      <c r="AG165" s="16" t="n">
        <v>287.055666596243</v>
      </c>
      <c r="AH165" s="16" t="n">
        <v>6.14732447479408</v>
      </c>
      <c r="AI165" s="16" t="n">
        <v>6.14732447479408</v>
      </c>
      <c r="AJ165" s="16" t="n">
        <v>0.66925</v>
      </c>
      <c r="AK165" s="16" t="n">
        <v>1.20833333333333</v>
      </c>
      <c r="AL165" s="16" t="n">
        <v>0.416666666666667</v>
      </c>
      <c r="AM165" s="16" t="n">
        <v>0</v>
      </c>
      <c r="AN165" s="16" t="n">
        <v>925.143416596243</v>
      </c>
      <c r="AO165" s="16" t="n">
        <v>6.74433340375687</v>
      </c>
      <c r="AP165" s="16" t="n">
        <v>287.055666596243</v>
      </c>
      <c r="AQ165" s="14" t="n">
        <v>6.74433340375687</v>
      </c>
      <c r="AR165" s="14" t="s">
        <v>372</v>
      </c>
      <c r="AS165" s="29"/>
      <c r="AT165" s="14" t="n">
        <v>130.357592339335</v>
      </c>
      <c r="AU165" s="17" t="n">
        <v>7.09696612214187</v>
      </c>
      <c r="AV165" s="17" t="n">
        <v>1.78723732618429</v>
      </c>
      <c r="AW165" s="16" t="n">
        <v>0</v>
      </c>
      <c r="AX165" s="14" t="s">
        <v>257</v>
      </c>
      <c r="AY165" s="14" t="s">
        <v>257</v>
      </c>
      <c r="AZ165" s="14" t="s">
        <v>373</v>
      </c>
      <c r="BA165" s="14" t="s">
        <v>259</v>
      </c>
      <c r="BB165" s="14" t="s">
        <v>454</v>
      </c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</row>
    <row r="166" customFormat="false" ht="15" hidden="false" customHeight="false" outlineLevel="0" collapsed="false">
      <c r="C166" s="14" t="s">
        <v>273</v>
      </c>
      <c r="D166" s="14" t="s">
        <v>274</v>
      </c>
      <c r="E166" s="14" t="s">
        <v>319</v>
      </c>
      <c r="F166" s="14" t="s">
        <v>253</v>
      </c>
      <c r="G166" s="29" t="n">
        <v>46569</v>
      </c>
      <c r="H166" s="29" t="n">
        <v>46599</v>
      </c>
      <c r="I166" s="14" t="s">
        <v>302</v>
      </c>
      <c r="J166" s="14" t="s">
        <v>271</v>
      </c>
      <c r="K166" s="14" t="n">
        <v>31</v>
      </c>
      <c r="L166" s="16" t="n">
        <v>273.624650754399</v>
      </c>
      <c r="M166" s="30" t="n">
        <v>27.6901735836919</v>
      </c>
      <c r="N166" s="16" t="n">
        <v>24.7249247852875</v>
      </c>
      <c r="O166" s="16" t="n">
        <v>-9.29283791267971</v>
      </c>
      <c r="P166" s="16" t="n">
        <v>-2.33051148625523</v>
      </c>
      <c r="Q166" s="16" t="n">
        <v>0.00179416583614465</v>
      </c>
      <c r="R166" s="16" t="n">
        <v>-9.57686277640396</v>
      </c>
      <c r="S166" s="16" t="n">
        <v>0</v>
      </c>
      <c r="T166" s="16" t="n">
        <v>12.8193446884645</v>
      </c>
      <c r="U166" s="16" t="n">
        <v>25</v>
      </c>
      <c r="V166" s="16" t="n">
        <v>24.2217485608756</v>
      </c>
      <c r="W166" s="16" t="n">
        <v>575.46875</v>
      </c>
      <c r="X166" s="16" t="n">
        <v>11.90625</v>
      </c>
      <c r="Y166" s="16" t="n">
        <v>11.90625</v>
      </c>
      <c r="Z166" s="16" t="n">
        <v>0</v>
      </c>
      <c r="AA166" s="16" t="n">
        <v>0</v>
      </c>
      <c r="AB166" s="16" t="n">
        <v>0</v>
      </c>
      <c r="AC166" s="16" t="n">
        <v>563.5625</v>
      </c>
      <c r="AD166" s="16" t="n">
        <v>287.055666596243</v>
      </c>
      <c r="AE166" s="16" t="n">
        <v>6.74433340375687</v>
      </c>
      <c r="AF166" s="16" t="n">
        <v>0</v>
      </c>
      <c r="AG166" s="16" t="n">
        <v>293.8</v>
      </c>
      <c r="AH166" s="16" t="n">
        <v>6.14142953134575</v>
      </c>
      <c r="AI166" s="16" t="n">
        <v>6.14142953134575</v>
      </c>
      <c r="AJ166" s="16" t="n">
        <v>0.66925</v>
      </c>
      <c r="AK166" s="16" t="n">
        <v>1.20833333333333</v>
      </c>
      <c r="AL166" s="16" t="n">
        <v>0.416666666666667</v>
      </c>
      <c r="AM166" s="16" t="n">
        <v>0</v>
      </c>
      <c r="AN166" s="16" t="n">
        <v>919.9815</v>
      </c>
      <c r="AO166" s="16" t="n">
        <v>0</v>
      </c>
      <c r="AP166" s="16" t="n">
        <v>293.8</v>
      </c>
      <c r="AQ166" s="14" t="n">
        <v>0</v>
      </c>
      <c r="AR166" s="14" t="s">
        <v>372</v>
      </c>
      <c r="AS166" s="29"/>
      <c r="AT166" s="14" t="n">
        <v>130.356974200762</v>
      </c>
      <c r="AU166" s="17" t="n">
        <v>7.05740145964988</v>
      </c>
      <c r="AV166" s="17" t="n">
        <v>1.78591525733209</v>
      </c>
      <c r="AW166" s="16" t="n">
        <v>0</v>
      </c>
      <c r="AX166" s="14" t="s">
        <v>257</v>
      </c>
      <c r="AY166" s="14" t="s">
        <v>257</v>
      </c>
      <c r="AZ166" s="14" t="s">
        <v>455</v>
      </c>
      <c r="BA166" s="14" t="s">
        <v>259</v>
      </c>
      <c r="BB166" s="14" t="s">
        <v>456</v>
      </c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</row>
    <row r="167" customFormat="false" ht="15" hidden="false" customHeight="false" outlineLevel="0" collapsed="false">
      <c r="C167" s="14" t="s">
        <v>273</v>
      </c>
      <c r="D167" s="14" t="s">
        <v>274</v>
      </c>
      <c r="E167" s="14" t="s">
        <v>321</v>
      </c>
      <c r="F167" s="14" t="s">
        <v>253</v>
      </c>
      <c r="G167" s="29" t="n">
        <v>46600</v>
      </c>
      <c r="H167" s="29" t="n">
        <v>46630</v>
      </c>
      <c r="I167" s="14" t="s">
        <v>302</v>
      </c>
      <c r="J167" s="14" t="s">
        <v>288</v>
      </c>
      <c r="K167" s="14" t="n">
        <v>31</v>
      </c>
      <c r="L167" s="16" t="n">
        <v>41.6348281805231</v>
      </c>
      <c r="M167" s="30" t="n">
        <v>27.9159174302794</v>
      </c>
      <c r="N167" s="16" t="n">
        <v>3.85614177349056</v>
      </c>
      <c r="O167" s="16" t="n">
        <v>-9.19101077622747</v>
      </c>
      <c r="P167" s="16" t="n">
        <v>-0.378108506388139</v>
      </c>
      <c r="Q167" s="16" t="n">
        <v>0.00027258029028027</v>
      </c>
      <c r="R167" s="16" t="n">
        <v>-1.45721898631831</v>
      </c>
      <c r="S167" s="16" t="n">
        <v>0</v>
      </c>
      <c r="T167" s="16" t="n">
        <v>2.0210868610744</v>
      </c>
      <c r="U167" s="16" t="n">
        <v>24.2217485608756</v>
      </c>
      <c r="V167" s="16" t="n">
        <v>17.82558823445</v>
      </c>
      <c r="W167" s="16" t="n">
        <v>563.5625</v>
      </c>
      <c r="X167" s="16" t="n">
        <v>0</v>
      </c>
      <c r="Y167" s="16" t="n">
        <v>0</v>
      </c>
      <c r="Z167" s="16" t="n">
        <v>0</v>
      </c>
      <c r="AA167" s="16" t="n">
        <v>0</v>
      </c>
      <c r="AB167" s="16" t="n">
        <v>0</v>
      </c>
      <c r="AC167" s="16" t="n">
        <v>563.5625</v>
      </c>
      <c r="AD167" s="16" t="n">
        <v>293.8</v>
      </c>
      <c r="AE167" s="16" t="n">
        <v>0</v>
      </c>
      <c r="AF167" s="16" t="n">
        <v>0</v>
      </c>
      <c r="AG167" s="16" t="n">
        <v>293.8</v>
      </c>
      <c r="AH167" s="16" t="n">
        <v>6.1229971875</v>
      </c>
      <c r="AI167" s="16" t="n">
        <v>6.1229971875</v>
      </c>
      <c r="AJ167" s="16" t="n">
        <v>0.66925</v>
      </c>
      <c r="AK167" s="16" t="n">
        <v>1.20833333333333</v>
      </c>
      <c r="AL167" s="16" t="n">
        <v>0.416666666666667</v>
      </c>
      <c r="AM167" s="16" t="n">
        <v>0</v>
      </c>
      <c r="AN167" s="16" t="n">
        <v>919.9815</v>
      </c>
      <c r="AO167" s="16" t="n">
        <v>0</v>
      </c>
      <c r="AP167" s="16" t="n">
        <v>293.8</v>
      </c>
      <c r="AQ167" s="14" t="n">
        <v>0</v>
      </c>
      <c r="AR167" s="14" t="s">
        <v>372</v>
      </c>
      <c r="AS167" s="29"/>
      <c r="AT167" s="14" t="n">
        <v>130.356877794808</v>
      </c>
      <c r="AU167" s="17" t="n">
        <v>7.05740667897958</v>
      </c>
      <c r="AV167" s="17" t="n">
        <v>1.7843402341235</v>
      </c>
      <c r="AW167" s="16" t="n">
        <v>0</v>
      </c>
      <c r="AX167" s="14" t="s">
        <v>257</v>
      </c>
      <c r="AY167" s="14" t="s">
        <v>257</v>
      </c>
      <c r="AZ167" s="14" t="s">
        <v>455</v>
      </c>
      <c r="BA167" s="14" t="s">
        <v>259</v>
      </c>
      <c r="BB167" s="14" t="s">
        <v>457</v>
      </c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</row>
    <row r="168" customFormat="false" ht="15" hidden="false" customHeight="false" outlineLevel="0" collapsed="false">
      <c r="C168" s="14" t="s">
        <v>273</v>
      </c>
      <c r="D168" s="14" t="s">
        <v>274</v>
      </c>
      <c r="E168" s="14" t="s">
        <v>323</v>
      </c>
      <c r="F168" s="14" t="s">
        <v>253</v>
      </c>
      <c r="G168" s="29" t="n">
        <v>46631</v>
      </c>
      <c r="H168" s="29" t="n">
        <v>46660</v>
      </c>
      <c r="I168" s="14" t="s">
        <v>302</v>
      </c>
      <c r="J168" s="14" t="s">
        <v>288</v>
      </c>
      <c r="K168" s="14" t="n">
        <v>30</v>
      </c>
      <c r="L168" s="16" t="n">
        <v>104.087070451308</v>
      </c>
      <c r="M168" s="30" t="n">
        <v>27.9159174302794</v>
      </c>
      <c r="N168" s="16" t="n">
        <v>9.6403544337264</v>
      </c>
      <c r="O168" s="16" t="n">
        <v>-9.19101077622747</v>
      </c>
      <c r="P168" s="16" t="n">
        <v>-0.945271265970348</v>
      </c>
      <c r="Q168" s="16" t="n">
        <v>0.000681450725700674</v>
      </c>
      <c r="R168" s="16" t="n">
        <v>-3.64304746579577</v>
      </c>
      <c r="S168" s="16" t="n">
        <v>0</v>
      </c>
      <c r="T168" s="16" t="n">
        <v>5.05271715268599</v>
      </c>
      <c r="U168" s="16" t="n">
        <v>17.82558823445</v>
      </c>
      <c r="V168" s="16" t="n">
        <v>14.461058199636</v>
      </c>
      <c r="W168" s="16" t="n">
        <v>563.5625</v>
      </c>
      <c r="X168" s="16" t="n">
        <v>0</v>
      </c>
      <c r="Y168" s="16" t="n">
        <v>0</v>
      </c>
      <c r="Z168" s="16" t="n">
        <v>0</v>
      </c>
      <c r="AA168" s="16" t="n">
        <v>0</v>
      </c>
      <c r="AB168" s="16" t="n">
        <v>0</v>
      </c>
      <c r="AC168" s="16" t="n">
        <v>563.5625</v>
      </c>
      <c r="AD168" s="16" t="n">
        <v>293.8</v>
      </c>
      <c r="AE168" s="16" t="n">
        <v>0</v>
      </c>
      <c r="AF168" s="16" t="n">
        <v>0</v>
      </c>
      <c r="AG168" s="16" t="n">
        <v>293.8</v>
      </c>
      <c r="AH168" s="16" t="n">
        <v>6.1229971875</v>
      </c>
      <c r="AI168" s="16" t="n">
        <v>6.1229971875</v>
      </c>
      <c r="AJ168" s="16" t="n">
        <v>0.66925</v>
      </c>
      <c r="AK168" s="16" t="n">
        <v>1.20833333333333</v>
      </c>
      <c r="AL168" s="16" t="n">
        <v>0.416666666666667</v>
      </c>
      <c r="AM168" s="16" t="n">
        <v>0</v>
      </c>
      <c r="AN168" s="16" t="n">
        <v>919.9815</v>
      </c>
      <c r="AO168" s="16" t="n">
        <v>0</v>
      </c>
      <c r="AP168" s="16" t="n">
        <v>293.8</v>
      </c>
      <c r="AQ168" s="14" t="n">
        <v>0</v>
      </c>
      <c r="AR168" s="14" t="s">
        <v>372</v>
      </c>
      <c r="AS168" s="29"/>
      <c r="AT168" s="14" t="n">
        <v>130.356636779921</v>
      </c>
      <c r="AU168" s="17" t="n">
        <v>7.0574197273376</v>
      </c>
      <c r="AV168" s="17" t="n">
        <v>1.78320540362129</v>
      </c>
      <c r="AW168" s="16" t="n">
        <v>0</v>
      </c>
      <c r="AX168" s="14" t="s">
        <v>257</v>
      </c>
      <c r="AY168" s="14" t="s">
        <v>257</v>
      </c>
      <c r="AZ168" s="14" t="s">
        <v>455</v>
      </c>
      <c r="BA168" s="14" t="s">
        <v>259</v>
      </c>
      <c r="BB168" s="14" t="s">
        <v>458</v>
      </c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</row>
    <row r="169" customFormat="false" ht="15" hidden="false" customHeight="false" outlineLevel="0" collapsed="false">
      <c r="C169" s="14" t="s">
        <v>273</v>
      </c>
      <c r="D169" s="14" t="s">
        <v>274</v>
      </c>
      <c r="E169" s="14" t="s">
        <v>325</v>
      </c>
      <c r="F169" s="14" t="s">
        <v>253</v>
      </c>
      <c r="G169" s="29" t="n">
        <v>46661</v>
      </c>
      <c r="H169" s="29" t="n">
        <v>46691</v>
      </c>
      <c r="I169" s="14" t="s">
        <v>302</v>
      </c>
      <c r="J169" s="14" t="s">
        <v>288</v>
      </c>
      <c r="K169" s="14" t="n">
        <v>31</v>
      </c>
      <c r="L169" s="16" t="n">
        <v>270.6263831734</v>
      </c>
      <c r="M169" s="30" t="n">
        <v>27.9159174302794</v>
      </c>
      <c r="N169" s="16" t="n">
        <v>25.0649215276886</v>
      </c>
      <c r="O169" s="16" t="n">
        <v>-9.19101077622747</v>
      </c>
      <c r="P169" s="16" t="n">
        <v>-2.4577052915229</v>
      </c>
      <c r="Q169" s="16" t="n">
        <v>0.00177177188682175</v>
      </c>
      <c r="R169" s="16" t="n">
        <v>-9.471923411069</v>
      </c>
      <c r="S169" s="16" t="n">
        <v>0</v>
      </c>
      <c r="T169" s="16" t="n">
        <v>13.1370645969836</v>
      </c>
      <c r="U169" s="16" t="n">
        <v>14.461058199636</v>
      </c>
      <c r="V169" s="16" t="n">
        <v>7.31714084349455</v>
      </c>
      <c r="W169" s="16" t="n">
        <v>563.5625</v>
      </c>
      <c r="X169" s="16" t="n">
        <v>11.90625</v>
      </c>
      <c r="Y169" s="16" t="n">
        <v>11.90625</v>
      </c>
      <c r="Z169" s="16" t="n">
        <v>0</v>
      </c>
      <c r="AA169" s="16" t="n">
        <v>0</v>
      </c>
      <c r="AB169" s="16" t="n">
        <v>0</v>
      </c>
      <c r="AC169" s="16" t="n">
        <v>551.65625</v>
      </c>
      <c r="AD169" s="16" t="n">
        <v>293.8</v>
      </c>
      <c r="AE169" s="16" t="n">
        <v>0</v>
      </c>
      <c r="AF169" s="16" t="n">
        <v>0</v>
      </c>
      <c r="AG169" s="16" t="n">
        <v>293.8</v>
      </c>
      <c r="AH169" s="16" t="n">
        <v>6.080481953125</v>
      </c>
      <c r="AI169" s="16" t="n">
        <v>6.080481953125</v>
      </c>
      <c r="AJ169" s="16" t="n">
        <v>0.66925</v>
      </c>
      <c r="AK169" s="16" t="n">
        <v>1.20833333333333</v>
      </c>
      <c r="AL169" s="16" t="n">
        <v>0.416666666666667</v>
      </c>
      <c r="AM169" s="16" t="n">
        <v>0</v>
      </c>
      <c r="AN169" s="16" t="n">
        <v>908.07525</v>
      </c>
      <c r="AO169" s="16" t="n">
        <v>0</v>
      </c>
      <c r="AP169" s="16" t="n">
        <v>293.8</v>
      </c>
      <c r="AQ169" s="14" t="n">
        <v>0</v>
      </c>
      <c r="AR169" s="14" t="s">
        <v>372</v>
      </c>
      <c r="AS169" s="29"/>
      <c r="AT169" s="14" t="n">
        <v>130.356010141217</v>
      </c>
      <c r="AU169" s="17" t="n">
        <v>6.96611724320393</v>
      </c>
      <c r="AV169" s="17" t="n">
        <v>1.78193513783129</v>
      </c>
      <c r="AW169" s="16" t="n">
        <v>0</v>
      </c>
      <c r="AX169" s="14" t="s">
        <v>257</v>
      </c>
      <c r="AY169" s="14" t="s">
        <v>257</v>
      </c>
      <c r="AZ169" s="14" t="s">
        <v>455</v>
      </c>
      <c r="BA169" s="14" t="s">
        <v>259</v>
      </c>
      <c r="BB169" s="14" t="s">
        <v>459</v>
      </c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</row>
    <row r="170" customFormat="false" ht="15" hidden="false" customHeight="false" outlineLevel="0" collapsed="false">
      <c r="C170" s="14" t="s">
        <v>273</v>
      </c>
      <c r="D170" s="14" t="s">
        <v>274</v>
      </c>
      <c r="E170" s="14" t="s">
        <v>327</v>
      </c>
      <c r="F170" s="14" t="s">
        <v>253</v>
      </c>
      <c r="G170" s="29" t="n">
        <v>46692</v>
      </c>
      <c r="H170" s="29" t="n">
        <v>46721</v>
      </c>
      <c r="I170" s="14" t="s">
        <v>328</v>
      </c>
      <c r="J170" s="14" t="s">
        <v>303</v>
      </c>
      <c r="K170" s="14" t="n">
        <v>30</v>
      </c>
      <c r="L170" s="16" t="n">
        <v>34.0011897832565</v>
      </c>
      <c r="M170" s="30" t="n">
        <v>22.9096754759419</v>
      </c>
      <c r="N170" s="16" t="n">
        <v>1.44694629394473</v>
      </c>
      <c r="O170" s="16" t="n">
        <v>-7.50586264815323</v>
      </c>
      <c r="P170" s="16" t="n">
        <v>0</v>
      </c>
      <c r="Q170" s="16" t="n">
        <v>0.000230221586671479</v>
      </c>
      <c r="R170" s="16" t="n">
        <v>-1.19004164241398</v>
      </c>
      <c r="S170" s="16" t="n">
        <v>0</v>
      </c>
      <c r="T170" s="16" t="n">
        <v>0.257134873117422</v>
      </c>
      <c r="U170" s="16" t="n">
        <v>7.31714084349455</v>
      </c>
      <c r="V170" s="16" t="n">
        <v>0</v>
      </c>
      <c r="W170" s="16" t="n">
        <v>551.65625</v>
      </c>
      <c r="X170" s="16" t="n">
        <v>0</v>
      </c>
      <c r="Y170" s="16" t="n">
        <v>0</v>
      </c>
      <c r="Z170" s="16" t="n">
        <v>0</v>
      </c>
      <c r="AA170" s="16" t="n">
        <v>0</v>
      </c>
      <c r="AB170" s="16" t="n">
        <v>0</v>
      </c>
      <c r="AC170" s="16" t="n">
        <v>551.65625</v>
      </c>
      <c r="AD170" s="16" t="n">
        <v>293.8</v>
      </c>
      <c r="AE170" s="16" t="n">
        <v>0</v>
      </c>
      <c r="AF170" s="16" t="n">
        <v>0</v>
      </c>
      <c r="AG170" s="16" t="n">
        <v>293.8</v>
      </c>
      <c r="AH170" s="16" t="n">
        <v>6.03796671875</v>
      </c>
      <c r="AI170" s="16" t="n">
        <v>6.03796671875</v>
      </c>
      <c r="AJ170" s="16" t="n">
        <v>0.569166666666667</v>
      </c>
      <c r="AK170" s="16" t="n">
        <v>0.967142331195308</v>
      </c>
      <c r="AL170" s="16" t="n">
        <v>0</v>
      </c>
      <c r="AM170" s="16" t="n">
        <v>0</v>
      </c>
      <c r="AN170" s="16" t="n">
        <v>908.07525</v>
      </c>
      <c r="AO170" s="16" t="n">
        <v>0</v>
      </c>
      <c r="AP170" s="16" t="n">
        <v>293.8</v>
      </c>
      <c r="AQ170" s="14" t="n">
        <v>0</v>
      </c>
      <c r="AR170" s="14" t="s">
        <v>372</v>
      </c>
      <c r="AS170" s="29"/>
      <c r="AT170" s="14" t="n">
        <v>130.355973966656</v>
      </c>
      <c r="AU170" s="17" t="n">
        <v>6.96611917634309</v>
      </c>
      <c r="AV170" s="17" t="n">
        <v>1.78114433376811</v>
      </c>
      <c r="AW170" s="16" t="n">
        <v>0</v>
      </c>
      <c r="AX170" s="14" t="s">
        <v>257</v>
      </c>
      <c r="AY170" s="14" t="s">
        <v>257</v>
      </c>
      <c r="AZ170" s="14" t="s">
        <v>455</v>
      </c>
      <c r="BA170" s="14" t="s">
        <v>259</v>
      </c>
      <c r="BB170" s="14" t="s">
        <v>460</v>
      </c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</row>
    <row r="171" customFormat="false" ht="15" hidden="false" customHeight="false" outlineLevel="0" collapsed="false">
      <c r="C171" s="14" t="s">
        <v>273</v>
      </c>
      <c r="D171" s="14" t="s">
        <v>274</v>
      </c>
      <c r="E171" s="14" t="s">
        <v>330</v>
      </c>
      <c r="F171" s="14" t="s">
        <v>253</v>
      </c>
      <c r="G171" s="29" t="n">
        <v>46722</v>
      </c>
      <c r="H171" s="29" t="n">
        <v>46752</v>
      </c>
      <c r="I171" s="14" t="s">
        <v>328</v>
      </c>
      <c r="J171" s="14" t="s">
        <v>303</v>
      </c>
      <c r="K171" s="14" t="n">
        <v>31</v>
      </c>
      <c r="L171" s="16" t="n">
        <v>85.0029744581412</v>
      </c>
      <c r="M171" s="30" t="n">
        <v>22.9096754759419</v>
      </c>
      <c r="N171" s="16" t="n">
        <v>3.61736573486182</v>
      </c>
      <c r="O171" s="16" t="n">
        <v>-7.50586264815323</v>
      </c>
      <c r="P171" s="16" t="n">
        <v>0</v>
      </c>
      <c r="Q171" s="16" t="n">
        <v>0.000575553966678696</v>
      </c>
      <c r="R171" s="16" t="n">
        <v>-2.97510410603494</v>
      </c>
      <c r="S171" s="16" t="n">
        <v>0</v>
      </c>
      <c r="T171" s="16" t="n">
        <v>0.642837182793555</v>
      </c>
      <c r="U171" s="16" t="n">
        <v>0</v>
      </c>
      <c r="V171" s="16" t="n">
        <v>0</v>
      </c>
      <c r="W171" s="16" t="n">
        <v>551.65625</v>
      </c>
      <c r="X171" s="16" t="n">
        <v>0</v>
      </c>
      <c r="Y171" s="16" t="n">
        <v>0</v>
      </c>
      <c r="Z171" s="16" t="n">
        <v>0</v>
      </c>
      <c r="AA171" s="16" t="n">
        <v>0</v>
      </c>
      <c r="AB171" s="16" t="n">
        <v>0</v>
      </c>
      <c r="AC171" s="16" t="n">
        <v>551.65625</v>
      </c>
      <c r="AD171" s="16" t="n">
        <v>293.8</v>
      </c>
      <c r="AE171" s="16" t="n">
        <v>0</v>
      </c>
      <c r="AF171" s="16" t="n">
        <v>0</v>
      </c>
      <c r="AG171" s="16" t="n">
        <v>293.8</v>
      </c>
      <c r="AH171" s="16" t="n">
        <v>6.03796671875</v>
      </c>
      <c r="AI171" s="16" t="n">
        <v>0.642837182793555</v>
      </c>
      <c r="AJ171" s="16" t="n">
        <v>0</v>
      </c>
      <c r="AK171" s="16" t="n">
        <v>0</v>
      </c>
      <c r="AL171" s="16" t="n">
        <v>0</v>
      </c>
      <c r="AM171" s="16" t="n">
        <v>5.39512953595644</v>
      </c>
      <c r="AN171" s="16" t="n">
        <v>908.07525</v>
      </c>
      <c r="AO171" s="16" t="n">
        <v>0</v>
      </c>
      <c r="AP171" s="16" t="n">
        <v>293.8</v>
      </c>
      <c r="AQ171" s="14" t="n">
        <v>0</v>
      </c>
      <c r="AR171" s="14" t="s">
        <v>372</v>
      </c>
      <c r="AS171" s="29"/>
      <c r="AT171" s="14" t="n">
        <v>130.355883530251</v>
      </c>
      <c r="AU171" s="17" t="n">
        <v>6.96612400919569</v>
      </c>
      <c r="AV171" s="17" t="n">
        <v>1.92317533871129</v>
      </c>
      <c r="AW171" s="16" t="n">
        <v>0</v>
      </c>
      <c r="AX171" s="14" t="s">
        <v>257</v>
      </c>
      <c r="AY171" s="14" t="s">
        <v>361</v>
      </c>
      <c r="AZ171" s="14" t="s">
        <v>461</v>
      </c>
      <c r="BA171" s="14" t="s">
        <v>259</v>
      </c>
      <c r="BB171" s="14" t="s">
        <v>462</v>
      </c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</row>
    <row r="172" customFormat="false" ht="15" hidden="false" customHeight="false" outlineLevel="0" collapsed="false">
      <c r="C172" s="14" t="s">
        <v>273</v>
      </c>
      <c r="D172" s="14" t="s">
        <v>274</v>
      </c>
      <c r="E172" s="14" t="s">
        <v>332</v>
      </c>
      <c r="F172" s="14" t="s">
        <v>253</v>
      </c>
      <c r="G172" s="29" t="n">
        <v>46753</v>
      </c>
      <c r="H172" s="29" t="n">
        <v>46783</v>
      </c>
      <c r="I172" s="14" t="s">
        <v>328</v>
      </c>
      <c r="J172" s="14" t="s">
        <v>303</v>
      </c>
      <c r="K172" s="14" t="n">
        <v>31</v>
      </c>
      <c r="L172" s="16" t="n">
        <v>221.007733591167</v>
      </c>
      <c r="M172" s="30" t="n">
        <v>22.9096754759419</v>
      </c>
      <c r="N172" s="16" t="n">
        <v>9.40515091064073</v>
      </c>
      <c r="O172" s="16" t="n">
        <v>-7.50586264815323</v>
      </c>
      <c r="P172" s="16" t="n">
        <v>0</v>
      </c>
      <c r="Q172" s="16" t="n">
        <v>0.00149644031336461</v>
      </c>
      <c r="R172" s="16" t="n">
        <v>-7.73527067569085</v>
      </c>
      <c r="S172" s="16" t="n">
        <v>0</v>
      </c>
      <c r="T172" s="16" t="n">
        <v>1.67137667526324</v>
      </c>
      <c r="U172" s="16" t="n">
        <v>0</v>
      </c>
      <c r="V172" s="16" t="n">
        <v>0</v>
      </c>
      <c r="W172" s="16" t="n">
        <v>551.65625</v>
      </c>
      <c r="X172" s="16" t="n">
        <v>11.90625</v>
      </c>
      <c r="Y172" s="16" t="n">
        <v>0</v>
      </c>
      <c r="Z172" s="16" t="n">
        <v>0</v>
      </c>
      <c r="AA172" s="16" t="n">
        <v>0</v>
      </c>
      <c r="AB172" s="16" t="n">
        <v>0</v>
      </c>
      <c r="AC172" s="16" t="n">
        <v>551.65625</v>
      </c>
      <c r="AD172" s="16" t="n">
        <v>293.8</v>
      </c>
      <c r="AE172" s="16" t="n">
        <v>0</v>
      </c>
      <c r="AF172" s="16" t="n">
        <v>0</v>
      </c>
      <c r="AG172" s="16" t="n">
        <v>293.8</v>
      </c>
      <c r="AH172" s="16" t="n">
        <v>5.995451484375</v>
      </c>
      <c r="AI172" s="16" t="n">
        <v>1.67137667526324</v>
      </c>
      <c r="AJ172" s="16" t="n">
        <v>0</v>
      </c>
      <c r="AK172" s="16" t="n">
        <v>0</v>
      </c>
      <c r="AL172" s="16" t="n">
        <v>0</v>
      </c>
      <c r="AM172" s="16" t="n">
        <v>4.32407480911176</v>
      </c>
      <c r="AN172" s="16" t="n">
        <v>908.07525</v>
      </c>
      <c r="AO172" s="16" t="n">
        <v>0</v>
      </c>
      <c r="AP172" s="16" t="n">
        <v>293.8</v>
      </c>
      <c r="AQ172" s="14" t="n">
        <v>0</v>
      </c>
      <c r="AR172" s="14" t="s">
        <v>372</v>
      </c>
      <c r="AS172" s="29"/>
      <c r="AT172" s="14" t="n">
        <v>130.3556483956</v>
      </c>
      <c r="AU172" s="17" t="n">
        <v>6.96613657464382</v>
      </c>
      <c r="AV172" s="17" t="n">
        <v>2.05643076652533</v>
      </c>
      <c r="AW172" s="16" t="n">
        <v>0</v>
      </c>
      <c r="AX172" s="14" t="s">
        <v>257</v>
      </c>
      <c r="AY172" s="14" t="s">
        <v>361</v>
      </c>
      <c r="AZ172" s="14" t="s">
        <v>461</v>
      </c>
      <c r="BA172" s="14" t="s">
        <v>259</v>
      </c>
      <c r="BB172" s="14" t="s">
        <v>463</v>
      </c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</row>
    <row r="173" customFormat="false" ht="15" hidden="false" customHeight="false" outlineLevel="0" collapsed="false">
      <c r="C173" s="14" t="s">
        <v>273</v>
      </c>
      <c r="D173" s="14" t="s">
        <v>274</v>
      </c>
      <c r="E173" s="14" t="s">
        <v>334</v>
      </c>
      <c r="F173" s="14" t="s">
        <v>335</v>
      </c>
      <c r="G173" s="29" t="n">
        <v>46784</v>
      </c>
      <c r="H173" s="29" t="n">
        <v>46873</v>
      </c>
      <c r="I173" s="14" t="s">
        <v>328</v>
      </c>
      <c r="J173" s="14" t="s">
        <v>255</v>
      </c>
      <c r="K173" s="14" t="n">
        <v>90</v>
      </c>
      <c r="L173" s="16" t="n">
        <v>398.150777198583</v>
      </c>
      <c r="M173" s="30" t="n">
        <v>28.8693217195837</v>
      </c>
      <c r="N173" s="16" t="n">
        <v>43.6581154980704</v>
      </c>
      <c r="O173" s="16" t="n">
        <v>-25.4689813068893</v>
      </c>
      <c r="P173" s="16" t="n">
        <v>-5.31135298700195</v>
      </c>
      <c r="Q173" s="16" t="n">
        <v>32.0373336585349</v>
      </c>
      <c r="R173" s="16" t="n">
        <v>-13.9352772019504</v>
      </c>
      <c r="S173" s="16" t="n">
        <v>0</v>
      </c>
      <c r="T173" s="16" t="n">
        <v>56.4488189676529</v>
      </c>
      <c r="U173" s="16" t="n">
        <v>0</v>
      </c>
      <c r="V173" s="16" t="n">
        <v>23.0375886594293</v>
      </c>
      <c r="W173" s="16" t="n">
        <v>551.65625</v>
      </c>
      <c r="X173" s="16" t="n">
        <v>11.90625</v>
      </c>
      <c r="Y173" s="16" t="n">
        <v>11.90625</v>
      </c>
      <c r="Z173" s="16" t="n">
        <v>0</v>
      </c>
      <c r="AA173" s="16" t="n">
        <v>0</v>
      </c>
      <c r="AB173" s="16" t="n">
        <v>0</v>
      </c>
      <c r="AC173" s="16" t="n">
        <v>539.75</v>
      </c>
      <c r="AD173" s="16" t="n">
        <v>293.8</v>
      </c>
      <c r="AE173" s="16" t="n">
        <v>0</v>
      </c>
      <c r="AF173" s="16" t="n">
        <v>0</v>
      </c>
      <c r="AG173" s="16" t="n">
        <v>293.8</v>
      </c>
      <c r="AH173" s="16" t="n">
        <v>17.227913046875</v>
      </c>
      <c r="AI173" s="16" t="n">
        <v>17.1166469748903</v>
      </c>
      <c r="AJ173" s="16" t="n">
        <v>1.13833333333333</v>
      </c>
      <c r="AK173" s="16" t="n">
        <v>2.41666666666667</v>
      </c>
      <c r="AL173" s="16" t="n">
        <v>0.833333333333333</v>
      </c>
      <c r="AM173" s="16" t="n">
        <v>0.111266071984706</v>
      </c>
      <c r="AN173" s="16" t="n">
        <v>896.169</v>
      </c>
      <c r="AO173" s="16" t="n">
        <v>0</v>
      </c>
      <c r="AP173" s="16" t="n">
        <v>293.8</v>
      </c>
      <c r="AQ173" s="14" t="n">
        <v>0</v>
      </c>
      <c r="AR173" s="14" t="s">
        <v>372</v>
      </c>
      <c r="AS173" s="29"/>
      <c r="AT173" s="14" t="n">
        <v>134.727341995943</v>
      </c>
      <c r="AU173" s="17" t="n">
        <v>6.65172330073126</v>
      </c>
      <c r="AV173" s="17" t="n">
        <v>2.16617824315572</v>
      </c>
      <c r="AW173" s="16" t="n">
        <v>0</v>
      </c>
      <c r="AX173" s="14" t="s">
        <v>257</v>
      </c>
      <c r="AY173" s="14" t="s">
        <v>361</v>
      </c>
      <c r="AZ173" s="14" t="s">
        <v>455</v>
      </c>
      <c r="BA173" s="14" t="s">
        <v>259</v>
      </c>
      <c r="BB173" s="14" t="s">
        <v>464</v>
      </c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</row>
    <row r="174" customFormat="false" ht="15" hidden="false" customHeight="false" outlineLevel="0" collapsed="false">
      <c r="C174" s="14" t="s">
        <v>273</v>
      </c>
      <c r="D174" s="14" t="s">
        <v>274</v>
      </c>
      <c r="E174" s="14" t="s">
        <v>337</v>
      </c>
      <c r="F174" s="14" t="s">
        <v>335</v>
      </c>
      <c r="G174" s="29" t="n">
        <v>46874</v>
      </c>
      <c r="H174" s="29" t="n">
        <v>46965</v>
      </c>
      <c r="I174" s="14" t="s">
        <v>328</v>
      </c>
      <c r="J174" s="14" t="s">
        <v>271</v>
      </c>
      <c r="K174" s="14" t="n">
        <v>92</v>
      </c>
      <c r="L174" s="16" t="n">
        <v>450.664628462803</v>
      </c>
      <c r="M174" s="30" t="n">
        <v>27.6901735836919</v>
      </c>
      <c r="N174" s="16" t="n">
        <v>47.4823568705127</v>
      </c>
      <c r="O174" s="16" t="n">
        <v>-27.8778167751957</v>
      </c>
      <c r="P174" s="16" t="n">
        <v>-5.52838590127115</v>
      </c>
      <c r="Q174" s="16" t="n">
        <v>29.5553832872862</v>
      </c>
      <c r="R174" s="16" t="n">
        <v>-15.7732619961981</v>
      </c>
      <c r="S174" s="16" t="n">
        <v>0</v>
      </c>
      <c r="T174" s="16" t="n">
        <v>55.7360922603297</v>
      </c>
      <c r="U174" s="16" t="n">
        <v>23.0375886594293</v>
      </c>
      <c r="V174" s="16" t="n">
        <v>25</v>
      </c>
      <c r="W174" s="16" t="n">
        <v>539.75</v>
      </c>
      <c r="X174" s="16" t="n">
        <v>11.90625</v>
      </c>
      <c r="Y174" s="16" t="n">
        <v>11.90625</v>
      </c>
      <c r="Z174" s="16" t="n">
        <v>0</v>
      </c>
      <c r="AA174" s="16" t="n">
        <v>0</v>
      </c>
      <c r="AB174" s="16" t="n">
        <v>0</v>
      </c>
      <c r="AC174" s="16" t="n">
        <v>527.84375</v>
      </c>
      <c r="AD174" s="16" t="n">
        <v>293.8</v>
      </c>
      <c r="AE174" s="16" t="n">
        <v>0</v>
      </c>
      <c r="AF174" s="16" t="n">
        <v>19.2093051009977</v>
      </c>
      <c r="AG174" s="16" t="n">
        <v>274.590694899002</v>
      </c>
      <c r="AH174" s="16" t="n">
        <v>16.0756258187613</v>
      </c>
      <c r="AI174" s="16" t="n">
        <v>16.0756258187613</v>
      </c>
      <c r="AJ174" s="16" t="n">
        <v>1.7075</v>
      </c>
      <c r="AK174" s="16" t="n">
        <v>3.625</v>
      </c>
      <c r="AL174" s="16" t="n">
        <v>1.25</v>
      </c>
      <c r="AM174" s="16" t="n">
        <v>0</v>
      </c>
      <c r="AN174" s="16" t="n">
        <v>865.053444899002</v>
      </c>
      <c r="AO174" s="16" t="n">
        <v>0</v>
      </c>
      <c r="AP174" s="16" t="n">
        <v>293.8</v>
      </c>
      <c r="AQ174" s="14" t="n">
        <v>19.2093051009977</v>
      </c>
      <c r="AR174" s="14" t="s">
        <v>372</v>
      </c>
      <c r="AS174" s="29"/>
      <c r="AT174" s="14" t="n">
        <v>144.171353042936</v>
      </c>
      <c r="AU174" s="17" t="n">
        <v>6.00017567041477</v>
      </c>
      <c r="AV174" s="17" t="n">
        <v>2.40803598288448</v>
      </c>
      <c r="AW174" s="16" t="n">
        <v>0</v>
      </c>
      <c r="AX174" s="14" t="s">
        <v>257</v>
      </c>
      <c r="AY174" s="14" t="s">
        <v>257</v>
      </c>
      <c r="AZ174" s="14" t="s">
        <v>373</v>
      </c>
      <c r="BA174" s="14" t="s">
        <v>259</v>
      </c>
      <c r="BB174" s="14" t="s">
        <v>465</v>
      </c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</row>
    <row r="175" customFormat="false" ht="15" hidden="false" customHeight="false" outlineLevel="0" collapsed="false">
      <c r="C175" s="14" t="s">
        <v>273</v>
      </c>
      <c r="D175" s="14" t="s">
        <v>274</v>
      </c>
      <c r="E175" s="14" t="s">
        <v>339</v>
      </c>
      <c r="F175" s="14" t="s">
        <v>335</v>
      </c>
      <c r="G175" s="29" t="n">
        <v>46966</v>
      </c>
      <c r="H175" s="29" t="n">
        <v>47057</v>
      </c>
      <c r="I175" s="14" t="s">
        <v>328</v>
      </c>
      <c r="J175" s="14" t="s">
        <v>288</v>
      </c>
      <c r="K175" s="14" t="n">
        <v>92</v>
      </c>
      <c r="L175" s="16" t="n">
        <v>460.420706720346</v>
      </c>
      <c r="M175" s="30" t="n">
        <v>27.9159174302794</v>
      </c>
      <c r="N175" s="16" t="n">
        <v>53.0027911688484</v>
      </c>
      <c r="O175" s="16" t="n">
        <v>-27.5723430028742</v>
      </c>
      <c r="P175" s="16" t="n">
        <v>-6.77119718653666</v>
      </c>
      <c r="Q175" s="16" t="n">
        <v>28.3341955420845</v>
      </c>
      <c r="R175" s="16" t="n">
        <v>-16.1147247352121</v>
      </c>
      <c r="S175" s="16" t="n">
        <v>0</v>
      </c>
      <c r="T175" s="16" t="n">
        <v>58.4510647891841</v>
      </c>
      <c r="U175" s="16" t="n">
        <v>25</v>
      </c>
      <c r="V175" s="16" t="n">
        <v>25</v>
      </c>
      <c r="W175" s="16" t="n">
        <v>527.84375</v>
      </c>
      <c r="X175" s="16" t="n">
        <v>11.90625</v>
      </c>
      <c r="Y175" s="16" t="n">
        <v>11.90625</v>
      </c>
      <c r="Z175" s="16" t="n">
        <v>0</v>
      </c>
      <c r="AA175" s="16" t="n">
        <v>0</v>
      </c>
      <c r="AB175" s="16" t="n">
        <v>0</v>
      </c>
      <c r="AC175" s="16" t="n">
        <v>515.9375</v>
      </c>
      <c r="AD175" s="16" t="n">
        <v>274.590694899002</v>
      </c>
      <c r="AE175" s="16" t="n">
        <v>1.28127966647842</v>
      </c>
      <c r="AF175" s="16" t="n">
        <v>26.6034198443739</v>
      </c>
      <c r="AG175" s="16" t="n">
        <v>249.268554721107</v>
      </c>
      <c r="AH175" s="16" t="n">
        <v>14.6401746112886</v>
      </c>
      <c r="AI175" s="16" t="n">
        <v>14.6401746112886</v>
      </c>
      <c r="AJ175" s="16" t="n">
        <v>1.7075</v>
      </c>
      <c r="AK175" s="16" t="n">
        <v>3.625</v>
      </c>
      <c r="AL175" s="16" t="n">
        <v>1.25</v>
      </c>
      <c r="AM175" s="16" t="n">
        <v>0</v>
      </c>
      <c r="AN175" s="16" t="n">
        <v>827.825054721107</v>
      </c>
      <c r="AO175" s="16" t="n">
        <v>17.9280254345193</v>
      </c>
      <c r="AP175" s="16" t="n">
        <v>275.871974565481</v>
      </c>
      <c r="AQ175" s="14" t="n">
        <v>44.5314452788932</v>
      </c>
      <c r="AR175" s="14" t="s">
        <v>372</v>
      </c>
      <c r="AS175" s="29"/>
      <c r="AT175" s="14" t="n">
        <v>158.612726476879</v>
      </c>
      <c r="AU175" s="17" t="n">
        <v>5.2191590997068</v>
      </c>
      <c r="AV175" s="17" t="n">
        <v>2.82306268056822</v>
      </c>
      <c r="AW175" s="16" t="n">
        <v>0</v>
      </c>
      <c r="AX175" s="14" t="s">
        <v>257</v>
      </c>
      <c r="AY175" s="14" t="s">
        <v>257</v>
      </c>
      <c r="AZ175" s="14" t="s">
        <v>373</v>
      </c>
      <c r="BA175" s="14" t="s">
        <v>259</v>
      </c>
      <c r="BB175" s="14" t="s">
        <v>466</v>
      </c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</row>
    <row r="176" customFormat="false" ht="15" hidden="false" customHeight="false" outlineLevel="0" collapsed="false">
      <c r="C176" s="14" t="s">
        <v>273</v>
      </c>
      <c r="D176" s="14" t="s">
        <v>274</v>
      </c>
      <c r="E176" s="14" t="s">
        <v>341</v>
      </c>
      <c r="F176" s="14" t="s">
        <v>335</v>
      </c>
      <c r="G176" s="29" t="n">
        <v>47058</v>
      </c>
      <c r="H176" s="29" t="n">
        <v>47149</v>
      </c>
      <c r="I176" s="14" t="s">
        <v>342</v>
      </c>
      <c r="J176" s="14" t="s">
        <v>303</v>
      </c>
      <c r="K176" s="14" t="n">
        <v>92</v>
      </c>
      <c r="L176" s="16" t="n">
        <v>388.003877187136</v>
      </c>
      <c r="M176" s="30" t="n">
        <v>22.9096754759419</v>
      </c>
      <c r="N176" s="16" t="n">
        <v>28.1519141588936</v>
      </c>
      <c r="O176" s="16" t="n">
        <v>-22.5170250047611</v>
      </c>
      <c r="P176" s="16" t="n">
        <v>-1.57759997606883</v>
      </c>
      <c r="Q176" s="16" t="n">
        <v>29.1491159280904</v>
      </c>
      <c r="R176" s="16" t="n">
        <v>-13.5801357015498</v>
      </c>
      <c r="S176" s="16" t="n">
        <v>0</v>
      </c>
      <c r="T176" s="16" t="n">
        <v>42.1432944093654</v>
      </c>
      <c r="U176" s="16" t="n">
        <v>25</v>
      </c>
      <c r="V176" s="16" t="n">
        <v>25</v>
      </c>
      <c r="W176" s="16" t="n">
        <v>515.9375</v>
      </c>
      <c r="X176" s="16" t="n">
        <v>11.90625</v>
      </c>
      <c r="Y176" s="16" t="n">
        <v>11.90625</v>
      </c>
      <c r="Z176" s="16" t="n">
        <v>0</v>
      </c>
      <c r="AA176" s="16" t="n">
        <v>0</v>
      </c>
      <c r="AB176" s="16" t="n">
        <v>0</v>
      </c>
      <c r="AC176" s="16" t="n">
        <v>504.03125</v>
      </c>
      <c r="AD176" s="16" t="n">
        <v>249.268554721107</v>
      </c>
      <c r="AE176" s="16" t="n">
        <v>2.40372320637993</v>
      </c>
      <c r="AF176" s="16" t="n">
        <v>12.8673761208934</v>
      </c>
      <c r="AG176" s="16" t="n">
        <v>238.804901806593</v>
      </c>
      <c r="AH176" s="16" t="n">
        <v>13.2738914948518</v>
      </c>
      <c r="AI176" s="16" t="n">
        <v>13.2738914948518</v>
      </c>
      <c r="AJ176" s="16" t="n">
        <v>1.6245</v>
      </c>
      <c r="AK176" s="16" t="n">
        <v>3.625</v>
      </c>
      <c r="AL176" s="16" t="n">
        <v>1.25</v>
      </c>
      <c r="AM176" s="16" t="n">
        <v>0</v>
      </c>
      <c r="AN176" s="16" t="n">
        <v>805.455151806593</v>
      </c>
      <c r="AO176" s="16" t="n">
        <v>42.1277220725133</v>
      </c>
      <c r="AP176" s="16" t="n">
        <v>251.672277927487</v>
      </c>
      <c r="AQ176" s="14" t="n">
        <v>54.9950981934068</v>
      </c>
      <c r="AR176" s="14" t="s">
        <v>372</v>
      </c>
      <c r="AS176" s="29"/>
      <c r="AT176" s="14" t="n">
        <v>172.295177696325</v>
      </c>
      <c r="AU176" s="17" t="n">
        <v>4.67485603820108</v>
      </c>
      <c r="AV176" s="17" t="n">
        <v>2.81959581932852</v>
      </c>
      <c r="AW176" s="16" t="n">
        <v>0</v>
      </c>
      <c r="AX176" s="14" t="s">
        <v>257</v>
      </c>
      <c r="AY176" s="14" t="s">
        <v>257</v>
      </c>
      <c r="AZ176" s="14" t="s">
        <v>373</v>
      </c>
      <c r="BA176" s="14" t="s">
        <v>259</v>
      </c>
      <c r="BB176" s="14" t="s">
        <v>467</v>
      </c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</row>
    <row r="177" customFormat="false" ht="15" hidden="false" customHeight="false" outlineLevel="0" collapsed="false">
      <c r="C177" s="14" t="s">
        <v>273</v>
      </c>
      <c r="D177" s="14" t="s">
        <v>274</v>
      </c>
      <c r="E177" s="14" t="s">
        <v>344</v>
      </c>
      <c r="F177" s="14" t="s">
        <v>335</v>
      </c>
      <c r="G177" s="29" t="n">
        <v>47150</v>
      </c>
      <c r="H177" s="29" t="n">
        <v>47238</v>
      </c>
      <c r="I177" s="14" t="s">
        <v>342</v>
      </c>
      <c r="J177" s="14" t="s">
        <v>255</v>
      </c>
      <c r="K177" s="14" t="n">
        <v>89</v>
      </c>
      <c r="L177" s="16" t="n">
        <v>452.432753896764</v>
      </c>
      <c r="M177" s="30" t="n">
        <v>28.8693217195837</v>
      </c>
      <c r="N177" s="16" t="n">
        <v>63.1832372137017</v>
      </c>
      <c r="O177" s="16" t="n">
        <v>-25.4683445823567</v>
      </c>
      <c r="P177" s="16" t="n">
        <v>-9.42872315783627</v>
      </c>
      <c r="Q177" s="16" t="n">
        <v>30.560044798288</v>
      </c>
      <c r="R177" s="16" t="n">
        <v>-15.8351463863867</v>
      </c>
      <c r="S177" s="16" t="n">
        <v>0</v>
      </c>
      <c r="T177" s="16" t="n">
        <v>68.4794124677668</v>
      </c>
      <c r="U177" s="16" t="n">
        <v>25</v>
      </c>
      <c r="V177" s="16" t="n">
        <v>25</v>
      </c>
      <c r="W177" s="16" t="n">
        <v>504.03125</v>
      </c>
      <c r="X177" s="16" t="n">
        <v>11.90625</v>
      </c>
      <c r="Y177" s="16" t="n">
        <v>11.90625</v>
      </c>
      <c r="Z177" s="16" t="n">
        <v>0</v>
      </c>
      <c r="AA177" s="16" t="n">
        <v>0</v>
      </c>
      <c r="AB177" s="16" t="n">
        <v>0</v>
      </c>
      <c r="AC177" s="16" t="n">
        <v>492.125</v>
      </c>
      <c r="AD177" s="16" t="n">
        <v>238.804901806593</v>
      </c>
      <c r="AE177" s="16" t="n">
        <v>0</v>
      </c>
      <c r="AF177" s="16" t="n">
        <v>38.2837611588496</v>
      </c>
      <c r="AG177" s="16" t="n">
        <v>200.521140647744</v>
      </c>
      <c r="AH177" s="16" t="n">
        <v>11.7899013089172</v>
      </c>
      <c r="AI177" s="16" t="n">
        <v>11.7899013089172</v>
      </c>
      <c r="AJ177" s="16" t="n">
        <v>1.6245</v>
      </c>
      <c r="AK177" s="16" t="n">
        <v>3.625</v>
      </c>
      <c r="AL177" s="16" t="n">
        <v>1.25</v>
      </c>
      <c r="AM177" s="16" t="n">
        <v>0</v>
      </c>
      <c r="AN177" s="16" t="n">
        <v>755.265140647744</v>
      </c>
      <c r="AO177" s="16" t="n">
        <v>71.6335889533072</v>
      </c>
      <c r="AP177" s="16" t="n">
        <v>222.166411046693</v>
      </c>
      <c r="AQ177" s="14" t="n">
        <v>93.2788593522563</v>
      </c>
      <c r="AR177" s="14" t="s">
        <v>372</v>
      </c>
      <c r="AS177" s="29"/>
      <c r="AT177" s="14" t="n">
        <v>191.820299411956</v>
      </c>
      <c r="AU177" s="17" t="n">
        <v>3.9373577403595</v>
      </c>
      <c r="AV177" s="17" t="n">
        <v>3.43889742271653</v>
      </c>
      <c r="AW177" s="16" t="n">
        <v>0</v>
      </c>
      <c r="AX177" s="14" t="s">
        <v>257</v>
      </c>
      <c r="AY177" s="14" t="s">
        <v>257</v>
      </c>
      <c r="AZ177" s="14" t="s">
        <v>373</v>
      </c>
      <c r="BA177" s="14" t="s">
        <v>259</v>
      </c>
      <c r="BB177" s="14" t="s">
        <v>468</v>
      </c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</row>
    <row r="178" customFormat="false" ht="15" hidden="false" customHeight="false" outlineLevel="0" collapsed="false">
      <c r="C178" s="14" t="s">
        <v>273</v>
      </c>
      <c r="D178" s="14" t="s">
        <v>274</v>
      </c>
      <c r="E178" s="14" t="s">
        <v>346</v>
      </c>
      <c r="F178" s="14" t="s">
        <v>335</v>
      </c>
      <c r="G178" s="29" t="n">
        <v>47239</v>
      </c>
      <c r="H178" s="29" t="n">
        <v>47330</v>
      </c>
      <c r="I178" s="14" t="s">
        <v>342</v>
      </c>
      <c r="J178" s="14" t="s">
        <v>271</v>
      </c>
      <c r="K178" s="14" t="n">
        <v>92</v>
      </c>
      <c r="L178" s="16" t="n">
        <v>495.223474557243</v>
      </c>
      <c r="M178" s="30" t="n">
        <v>27.6901735836919</v>
      </c>
      <c r="N178" s="16" t="n">
        <v>63.3196378606049</v>
      </c>
      <c r="O178" s="16" t="n">
        <v>-27.8771198297763</v>
      </c>
      <c r="P178" s="16" t="n">
        <v>-8.86062950770715</v>
      </c>
      <c r="Q178" s="16" t="n">
        <v>-5.56236379791506</v>
      </c>
      <c r="R178" s="16" t="n">
        <v>-17.3328216095035</v>
      </c>
      <c r="S178" s="16" t="n">
        <v>0</v>
      </c>
      <c r="T178" s="16" t="n">
        <v>31.5638229454792</v>
      </c>
      <c r="U178" s="16" t="n">
        <v>25</v>
      </c>
      <c r="V178" s="16" t="n">
        <v>25</v>
      </c>
      <c r="W178" s="16" t="n">
        <v>492.125</v>
      </c>
      <c r="X178" s="16" t="n">
        <v>11.90625</v>
      </c>
      <c r="Y178" s="16" t="n">
        <v>11.90625</v>
      </c>
      <c r="Z178" s="16" t="n">
        <v>0</v>
      </c>
      <c r="AA178" s="16" t="n">
        <v>0</v>
      </c>
      <c r="AB178" s="16" t="n">
        <v>0</v>
      </c>
      <c r="AC178" s="16" t="n">
        <v>480.21875</v>
      </c>
      <c r="AD178" s="16" t="n">
        <v>200.521140647744</v>
      </c>
      <c r="AE178" s="16" t="n">
        <v>7.28081674747189</v>
      </c>
      <c r="AF178" s="16" t="n">
        <v>9.17523906572875</v>
      </c>
      <c r="AG178" s="16" t="n">
        <v>198.626718329487</v>
      </c>
      <c r="AH178" s="16" t="n">
        <v>11.2636506272223</v>
      </c>
      <c r="AI178" s="16" t="n">
        <v>11.2636506272223</v>
      </c>
      <c r="AJ178" s="16" t="n">
        <v>1.6245</v>
      </c>
      <c r="AK178" s="16" t="n">
        <v>3.625</v>
      </c>
      <c r="AL178" s="16" t="n">
        <v>1.25</v>
      </c>
      <c r="AM178" s="16" t="n">
        <v>0</v>
      </c>
      <c r="AN178" s="16" t="n">
        <v>741.464468329487</v>
      </c>
      <c r="AO178" s="16" t="n">
        <v>95.1732816705132</v>
      </c>
      <c r="AP178" s="16" t="n">
        <v>198.626718329487</v>
      </c>
      <c r="AQ178" s="14" t="n">
        <v>95.1732816705132</v>
      </c>
      <c r="AR178" s="14" t="s">
        <v>372</v>
      </c>
      <c r="AS178" s="29"/>
      <c r="AT178" s="14" t="n">
        <v>207.657580402049</v>
      </c>
      <c r="AU178" s="17" t="n">
        <v>3.57061113248998</v>
      </c>
      <c r="AV178" s="17" t="n">
        <v>4.07430420291149</v>
      </c>
      <c r="AW178" s="16" t="n">
        <v>0</v>
      </c>
      <c r="AX178" s="14" t="s">
        <v>257</v>
      </c>
      <c r="AY178" s="14" t="s">
        <v>257</v>
      </c>
      <c r="AZ178" s="14" t="s">
        <v>373</v>
      </c>
      <c r="BA178" s="14" t="s">
        <v>259</v>
      </c>
      <c r="BB178" s="14" t="s">
        <v>469</v>
      </c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</row>
    <row r="179" customFormat="false" ht="15" hidden="false" customHeight="false" outlineLevel="0" collapsed="false">
      <c r="C179" s="14" t="s">
        <v>273</v>
      </c>
      <c r="D179" s="14" t="s">
        <v>274</v>
      </c>
      <c r="E179" s="14" t="s">
        <v>348</v>
      </c>
      <c r="F179" s="14" t="s">
        <v>335</v>
      </c>
      <c r="G179" s="29" t="n">
        <v>47331</v>
      </c>
      <c r="H179" s="29" t="n">
        <v>47422</v>
      </c>
      <c r="I179" s="14" t="s">
        <v>342</v>
      </c>
      <c r="J179" s="14" t="s">
        <v>288</v>
      </c>
      <c r="K179" s="14" t="n">
        <v>92</v>
      </c>
      <c r="L179" s="16" t="n">
        <v>489.797017236892</v>
      </c>
      <c r="M179" s="30" t="n">
        <v>27.9159174302794</v>
      </c>
      <c r="N179" s="16" t="n">
        <v>63.7314936618185</v>
      </c>
      <c r="O179" s="16" t="n">
        <v>-27.5716536942991</v>
      </c>
      <c r="P179" s="16" t="n">
        <v>-9.03995999187983</v>
      </c>
      <c r="Q179" s="16" t="n">
        <v>-3.63818299158489</v>
      </c>
      <c r="R179" s="16" t="n">
        <v>-17.1428956032912</v>
      </c>
      <c r="S179" s="16" t="n">
        <v>0</v>
      </c>
      <c r="T179" s="16" t="n">
        <v>33.9104550750625</v>
      </c>
      <c r="U179" s="16" t="n">
        <v>25</v>
      </c>
      <c r="V179" s="16" t="n">
        <v>25</v>
      </c>
      <c r="W179" s="16" t="n">
        <v>480.21875</v>
      </c>
      <c r="X179" s="16" t="n">
        <v>11.90625</v>
      </c>
      <c r="Y179" s="16" t="n">
        <v>11.90625</v>
      </c>
      <c r="Z179" s="16" t="n">
        <v>0</v>
      </c>
      <c r="AA179" s="16" t="n">
        <v>0</v>
      </c>
      <c r="AB179" s="16" t="n">
        <v>0</v>
      </c>
      <c r="AC179" s="16" t="n">
        <v>468.3125</v>
      </c>
      <c r="AD179" s="16" t="n">
        <v>198.626718329487</v>
      </c>
      <c r="AE179" s="16" t="n">
        <v>6.41122263166534</v>
      </c>
      <c r="AF179" s="16" t="n">
        <v>10.9002091316827</v>
      </c>
      <c r="AG179" s="16" t="n">
        <v>194.137731829469</v>
      </c>
      <c r="AH179" s="16" t="n">
        <v>11.0157185750451</v>
      </c>
      <c r="AI179" s="16" t="n">
        <v>11.0157185750451</v>
      </c>
      <c r="AJ179" s="16" t="n">
        <v>1.6245</v>
      </c>
      <c r="AK179" s="16" t="n">
        <v>3.625</v>
      </c>
      <c r="AL179" s="16" t="n">
        <v>1.25</v>
      </c>
      <c r="AM179" s="16" t="n">
        <v>0</v>
      </c>
      <c r="AN179" s="16" t="n">
        <v>725.06923182947</v>
      </c>
      <c r="AO179" s="16" t="n">
        <v>99.6622681705306</v>
      </c>
      <c r="AP179" s="16" t="n">
        <v>194.137731829469</v>
      </c>
      <c r="AQ179" s="14" t="n">
        <v>99.6622681705306</v>
      </c>
      <c r="AR179" s="14" t="s">
        <v>372</v>
      </c>
      <c r="AS179" s="29"/>
      <c r="AT179" s="14" t="n">
        <v>218.386282895019</v>
      </c>
      <c r="AU179" s="17" t="n">
        <v>3.32012259294701</v>
      </c>
      <c r="AV179" s="17" t="n">
        <v>4.61283686263231</v>
      </c>
      <c r="AW179" s="16" t="n">
        <v>0</v>
      </c>
      <c r="AX179" s="14" t="s">
        <v>257</v>
      </c>
      <c r="AY179" s="14" t="s">
        <v>257</v>
      </c>
      <c r="AZ179" s="14" t="s">
        <v>373</v>
      </c>
      <c r="BA179" s="14" t="s">
        <v>259</v>
      </c>
      <c r="BB179" s="14" t="s">
        <v>470</v>
      </c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</row>
    <row r="180" customFormat="false" ht="15" hidden="false" customHeight="false" outlineLevel="0" collapsed="false">
      <c r="C180" s="14" t="s">
        <v>273</v>
      </c>
      <c r="D180" s="14" t="s">
        <v>274</v>
      </c>
      <c r="E180" s="14" t="s">
        <v>350</v>
      </c>
      <c r="F180" s="14" t="s">
        <v>335</v>
      </c>
      <c r="G180" s="29" t="n">
        <v>47423</v>
      </c>
      <c r="H180" s="29" t="n">
        <v>47514</v>
      </c>
      <c r="I180" s="14" t="s">
        <v>351</v>
      </c>
      <c r="J180" s="14" t="s">
        <v>303</v>
      </c>
      <c r="K180" s="14" t="n">
        <v>92</v>
      </c>
      <c r="L180" s="16" t="n">
        <v>399.993997000213</v>
      </c>
      <c r="M180" s="30" t="n">
        <v>22.9096754759419</v>
      </c>
      <c r="N180" s="16" t="n">
        <v>32.0218213290888</v>
      </c>
      <c r="O180" s="16" t="n">
        <v>-22.516462079136</v>
      </c>
      <c r="P180" s="16" t="n">
        <v>-2.37633981248821</v>
      </c>
      <c r="Q180" s="16" t="n">
        <v>-1.53612114393274</v>
      </c>
      <c r="R180" s="16" t="n">
        <v>-13.9997898950074</v>
      </c>
      <c r="S180" s="16" t="n">
        <v>0</v>
      </c>
      <c r="T180" s="16" t="n">
        <v>14.1095704776604</v>
      </c>
      <c r="U180" s="16" t="n">
        <v>25</v>
      </c>
      <c r="V180" s="16" t="n">
        <v>25</v>
      </c>
      <c r="W180" s="16" t="n">
        <v>468.3125</v>
      </c>
      <c r="X180" s="16" t="n">
        <v>11.90625</v>
      </c>
      <c r="Y180" s="16" t="n">
        <v>11.90625</v>
      </c>
      <c r="Z180" s="16" t="n">
        <v>0</v>
      </c>
      <c r="AA180" s="16" t="n">
        <v>0</v>
      </c>
      <c r="AB180" s="16" t="n">
        <v>0</v>
      </c>
      <c r="AC180" s="16" t="n">
        <v>456.40625</v>
      </c>
      <c r="AD180" s="16" t="n">
        <v>194.137731829469</v>
      </c>
      <c r="AE180" s="16" t="n">
        <v>15.1152140705905</v>
      </c>
      <c r="AF180" s="16" t="n">
        <v>0</v>
      </c>
      <c r="AG180" s="16" t="n">
        <v>209.25294590006</v>
      </c>
      <c r="AH180" s="16" t="n">
        <v>10.9070345482509</v>
      </c>
      <c r="AI180" s="16" t="n">
        <v>10.9070345482509</v>
      </c>
      <c r="AJ180" s="16" t="n">
        <v>1.5365</v>
      </c>
      <c r="AK180" s="16" t="n">
        <v>3.625</v>
      </c>
      <c r="AL180" s="16" t="n">
        <v>1.25</v>
      </c>
      <c r="AM180" s="16" t="n">
        <v>0</v>
      </c>
      <c r="AN180" s="16" t="n">
        <v>728.27819590006</v>
      </c>
      <c r="AO180" s="16" t="n">
        <v>84.5470540999401</v>
      </c>
      <c r="AP180" s="16" t="n">
        <v>209.25294590006</v>
      </c>
      <c r="AQ180" s="14" t="n">
        <v>84.5470540999401</v>
      </c>
      <c r="AR180" s="14" t="s">
        <v>372</v>
      </c>
      <c r="AS180" s="29"/>
      <c r="AT180" s="14" t="n">
        <v>222.256190065214</v>
      </c>
      <c r="AU180" s="17" t="n">
        <v>3.2767510128126</v>
      </c>
      <c r="AV180" s="17" t="n">
        <v>4.94162848129711</v>
      </c>
      <c r="AW180" s="16" t="n">
        <v>0</v>
      </c>
      <c r="AX180" s="14" t="s">
        <v>257</v>
      </c>
      <c r="AY180" s="14" t="s">
        <v>257</v>
      </c>
      <c r="AZ180" s="14" t="s">
        <v>258</v>
      </c>
      <c r="BA180" s="14" t="s">
        <v>259</v>
      </c>
      <c r="BB180" s="14" t="s">
        <v>471</v>
      </c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</row>
    <row r="181" customFormat="false" ht="15" hidden="false" customHeight="false" outlineLevel="0" collapsed="false">
      <c r="C181" s="14" t="s">
        <v>273</v>
      </c>
      <c r="D181" s="14" t="s">
        <v>274</v>
      </c>
      <c r="E181" s="14" t="s">
        <v>353</v>
      </c>
      <c r="F181" s="14" t="s">
        <v>335</v>
      </c>
      <c r="G181" s="29" t="n">
        <v>47515</v>
      </c>
      <c r="H181" s="29" t="n">
        <v>47603</v>
      </c>
      <c r="I181" s="14" t="s">
        <v>351</v>
      </c>
      <c r="J181" s="14" t="s">
        <v>255</v>
      </c>
      <c r="K181" s="14" t="n">
        <v>89</v>
      </c>
      <c r="L181" s="16" t="n">
        <v>452.421443077917</v>
      </c>
      <c r="M181" s="30" t="n">
        <v>28.8693217195837</v>
      </c>
      <c r="N181" s="16" t="n">
        <v>63.1816576327714</v>
      </c>
      <c r="O181" s="16" t="n">
        <v>-25.4677078737421</v>
      </c>
      <c r="P181" s="16" t="n">
        <v>-9.42848743975732</v>
      </c>
      <c r="Q181" s="16" t="n">
        <v>0.00165728527647751</v>
      </c>
      <c r="R181" s="16" t="n">
        <v>-15.8347505077271</v>
      </c>
      <c r="S181" s="16" t="n">
        <v>0</v>
      </c>
      <c r="T181" s="16" t="n">
        <v>37.9200769705635</v>
      </c>
      <c r="U181" s="16" t="n">
        <v>25</v>
      </c>
      <c r="V181" s="16" t="n">
        <v>25</v>
      </c>
      <c r="W181" s="16" t="n">
        <v>456.40625</v>
      </c>
      <c r="X181" s="16" t="n">
        <v>11.90625</v>
      </c>
      <c r="Y181" s="16" t="n">
        <v>11.90625</v>
      </c>
      <c r="Z181" s="16" t="n">
        <v>0</v>
      </c>
      <c r="AA181" s="16" t="n">
        <v>0</v>
      </c>
      <c r="AB181" s="16" t="n">
        <v>0</v>
      </c>
      <c r="AC181" s="16" t="n">
        <v>444.5</v>
      </c>
      <c r="AD181" s="16" t="n">
        <v>209.25294590006</v>
      </c>
      <c r="AE181" s="16" t="n">
        <v>4.95332941951016</v>
      </c>
      <c r="AF181" s="16" t="n">
        <v>13.7921584958901</v>
      </c>
      <c r="AG181" s="16" t="n">
        <v>200.41411682368</v>
      </c>
      <c r="AH181" s="16" t="n">
        <v>10.7634978941835</v>
      </c>
      <c r="AI181" s="16" t="n">
        <v>10.7634978941835</v>
      </c>
      <c r="AJ181" s="16" t="n">
        <v>1.5365</v>
      </c>
      <c r="AK181" s="16" t="n">
        <v>3.625</v>
      </c>
      <c r="AL181" s="16" t="n">
        <v>1.25</v>
      </c>
      <c r="AM181" s="16" t="n">
        <v>0</v>
      </c>
      <c r="AN181" s="16" t="n">
        <v>707.53311682368</v>
      </c>
      <c r="AO181" s="16" t="n">
        <v>91.4242553309439</v>
      </c>
      <c r="AP181" s="16" t="n">
        <v>202.375744669056</v>
      </c>
      <c r="AQ181" s="14" t="n">
        <v>93.3858831763201</v>
      </c>
      <c r="AR181" s="14" t="s">
        <v>372</v>
      </c>
      <c r="AS181" s="29"/>
      <c r="AT181" s="14" t="n">
        <v>222.254610484284</v>
      </c>
      <c r="AU181" s="17" t="n">
        <v>3.18343504902776</v>
      </c>
      <c r="AV181" s="17" t="n">
        <v>5.05699904134089</v>
      </c>
      <c r="AW181" s="16" t="n">
        <v>0</v>
      </c>
      <c r="AX181" s="14" t="s">
        <v>257</v>
      </c>
      <c r="AY181" s="14" t="s">
        <v>257</v>
      </c>
      <c r="AZ181" s="14" t="s">
        <v>258</v>
      </c>
      <c r="BA181" s="14" t="s">
        <v>259</v>
      </c>
      <c r="BB181" s="14" t="s">
        <v>472</v>
      </c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</row>
    <row r="182" customFormat="false" ht="15" hidden="false" customHeight="false" outlineLevel="0" collapsed="false">
      <c r="C182" s="14" t="s">
        <v>273</v>
      </c>
      <c r="D182" s="14" t="s">
        <v>274</v>
      </c>
      <c r="E182" s="14" t="s">
        <v>355</v>
      </c>
      <c r="F182" s="14" t="s">
        <v>335</v>
      </c>
      <c r="G182" s="29" t="n">
        <v>47604</v>
      </c>
      <c r="H182" s="29" t="n">
        <v>47695</v>
      </c>
      <c r="I182" s="14" t="s">
        <v>351</v>
      </c>
      <c r="J182" s="14" t="s">
        <v>271</v>
      </c>
      <c r="K182" s="14" t="n">
        <v>92</v>
      </c>
      <c r="L182" s="16" t="n">
        <v>495.211093970379</v>
      </c>
      <c r="M182" s="30" t="n">
        <v>27.6901735836919</v>
      </c>
      <c r="N182" s="16" t="n">
        <v>63.3180548696584</v>
      </c>
      <c r="O182" s="16" t="n">
        <v>-27.8764229017806</v>
      </c>
      <c r="P182" s="16" t="n">
        <v>-8.86040799196946</v>
      </c>
      <c r="Q182" s="16" t="n">
        <v>0.00182870502781671</v>
      </c>
      <c r="R182" s="16" t="n">
        <v>-17.3323882889633</v>
      </c>
      <c r="S182" s="16" t="n">
        <v>0</v>
      </c>
      <c r="T182" s="16" t="n">
        <v>37.1270872937535</v>
      </c>
      <c r="U182" s="16" t="n">
        <v>25</v>
      </c>
      <c r="V182" s="16" t="n">
        <v>25</v>
      </c>
      <c r="W182" s="16" t="n">
        <v>444.5</v>
      </c>
      <c r="X182" s="16" t="n">
        <v>11.90625</v>
      </c>
      <c r="Y182" s="16" t="n">
        <v>11.90625</v>
      </c>
      <c r="Z182" s="16" t="n">
        <v>0</v>
      </c>
      <c r="AA182" s="16" t="n">
        <v>0</v>
      </c>
      <c r="AB182" s="16" t="n">
        <v>0</v>
      </c>
      <c r="AC182" s="16" t="n">
        <v>432.59375</v>
      </c>
      <c r="AD182" s="16" t="n">
        <v>200.41411682368</v>
      </c>
      <c r="AE182" s="16" t="n">
        <v>5.10615816636272</v>
      </c>
      <c r="AF182" s="16" t="n">
        <v>13.4889998052481</v>
      </c>
      <c r="AG182" s="16" t="n">
        <v>192.031275184795</v>
      </c>
      <c r="AH182" s="16" t="n">
        <v>10.4264956548681</v>
      </c>
      <c r="AI182" s="16" t="n">
        <v>10.4264956548681</v>
      </c>
      <c r="AJ182" s="16" t="n">
        <v>1.5365</v>
      </c>
      <c r="AK182" s="16" t="n">
        <v>3.625</v>
      </c>
      <c r="AL182" s="16" t="n">
        <v>1.25</v>
      </c>
      <c r="AM182" s="16" t="n">
        <v>0</v>
      </c>
      <c r="AN182" s="16" t="n">
        <v>687.244025184795</v>
      </c>
      <c r="AO182" s="16" t="n">
        <v>100.111920010461</v>
      </c>
      <c r="AP182" s="16" t="n">
        <v>193.688079989539</v>
      </c>
      <c r="AQ182" s="14" t="n">
        <v>101.768724815205</v>
      </c>
      <c r="AR182" s="14" t="s">
        <v>372</v>
      </c>
      <c r="AS182" s="29"/>
      <c r="AT182" s="14" t="n">
        <v>222.253027493337</v>
      </c>
      <c r="AU182" s="17" t="n">
        <v>3.09216946529737</v>
      </c>
      <c r="AV182" s="17" t="n">
        <v>5.15515815270219</v>
      </c>
      <c r="AW182" s="16" t="n">
        <v>0</v>
      </c>
      <c r="AX182" s="14" t="s">
        <v>257</v>
      </c>
      <c r="AY182" s="14" t="s">
        <v>257</v>
      </c>
      <c r="AZ182" s="14" t="s">
        <v>258</v>
      </c>
      <c r="BA182" s="14" t="s">
        <v>259</v>
      </c>
      <c r="BB182" s="14" t="s">
        <v>473</v>
      </c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</row>
    <row r="183" customFormat="false" ht="15" hidden="false" customHeight="false" outlineLevel="0" collapsed="false">
      <c r="C183" s="14" t="s">
        <v>273</v>
      </c>
      <c r="D183" s="14" t="s">
        <v>274</v>
      </c>
      <c r="E183" s="14" t="s">
        <v>357</v>
      </c>
      <c r="F183" s="14" t="s">
        <v>335</v>
      </c>
      <c r="G183" s="29" t="n">
        <v>47696</v>
      </c>
      <c r="H183" s="29" t="n">
        <v>47787</v>
      </c>
      <c r="I183" s="14" t="s">
        <v>351</v>
      </c>
      <c r="J183" s="14" t="s">
        <v>288</v>
      </c>
      <c r="K183" s="14" t="n">
        <v>92</v>
      </c>
      <c r="L183" s="16" t="n">
        <v>489.784772311461</v>
      </c>
      <c r="M183" s="30" t="n">
        <v>27.9159174302794</v>
      </c>
      <c r="N183" s="16" t="n">
        <v>63.7299003744769</v>
      </c>
      <c r="O183" s="16" t="n">
        <v>-27.5709644029568</v>
      </c>
      <c r="P183" s="16" t="n">
        <v>-9.03973399288004</v>
      </c>
      <c r="Q183" s="16" t="n">
        <v>0.00180588811739999</v>
      </c>
      <c r="R183" s="16" t="n">
        <v>-17.1424670309011</v>
      </c>
      <c r="S183" s="16" t="n">
        <v>0</v>
      </c>
      <c r="T183" s="16" t="n">
        <v>37.5495052388131</v>
      </c>
      <c r="U183" s="16" t="n">
        <v>25</v>
      </c>
      <c r="V183" s="16" t="n">
        <v>25</v>
      </c>
      <c r="W183" s="16" t="n">
        <v>432.59375</v>
      </c>
      <c r="X183" s="16" t="n">
        <v>11.90625</v>
      </c>
      <c r="Y183" s="16" t="n">
        <v>11.90625</v>
      </c>
      <c r="Z183" s="16" t="n">
        <v>0</v>
      </c>
      <c r="AA183" s="16" t="n">
        <v>0</v>
      </c>
      <c r="AB183" s="16" t="n">
        <v>0</v>
      </c>
      <c r="AC183" s="16" t="n">
        <v>420.6875</v>
      </c>
      <c r="AD183" s="16" t="n">
        <v>192.031275184795</v>
      </c>
      <c r="AE183" s="16" t="n">
        <v>4.85079701160588</v>
      </c>
      <c r="AF183" s="16" t="n">
        <v>13.995546871237</v>
      </c>
      <c r="AG183" s="16" t="n">
        <v>182.886525325164</v>
      </c>
      <c r="AH183" s="16" t="n">
        <v>10.0870053791821</v>
      </c>
      <c r="AI183" s="16" t="n">
        <v>10.0870053791821</v>
      </c>
      <c r="AJ183" s="16" t="n">
        <v>1.5365</v>
      </c>
      <c r="AK183" s="16" t="n">
        <v>3.625</v>
      </c>
      <c r="AL183" s="16" t="n">
        <v>1.25</v>
      </c>
      <c r="AM183" s="16" t="n">
        <v>0</v>
      </c>
      <c r="AN183" s="16" t="n">
        <v>666.193025325164</v>
      </c>
      <c r="AO183" s="16" t="n">
        <v>108.747341846044</v>
      </c>
      <c r="AP183" s="16" t="n">
        <v>185.052658153956</v>
      </c>
      <c r="AQ183" s="14" t="n">
        <v>110.913474674837</v>
      </c>
      <c r="AR183" s="14" t="s">
        <v>372</v>
      </c>
      <c r="AS183" s="29"/>
      <c r="AT183" s="14" t="n">
        <v>222.251434205996</v>
      </c>
      <c r="AU183" s="17" t="n">
        <v>2.99747458415813</v>
      </c>
      <c r="AV183" s="17" t="n">
        <v>5.26861506332459</v>
      </c>
      <c r="AW183" s="16" t="n">
        <v>0</v>
      </c>
      <c r="AX183" s="14" t="s">
        <v>257</v>
      </c>
      <c r="AY183" s="14" t="s">
        <v>257</v>
      </c>
      <c r="AZ183" s="14" t="s">
        <v>258</v>
      </c>
      <c r="BA183" s="14" t="s">
        <v>259</v>
      </c>
      <c r="BB183" s="14" t="s">
        <v>474</v>
      </c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</row>
    <row r="184" customFormat="false" ht="15" hidden="false" customHeight="false" outlineLevel="0" collapsed="false">
      <c r="C184" s="14" t="s">
        <v>273</v>
      </c>
      <c r="D184" s="14" t="s">
        <v>274</v>
      </c>
      <c r="E184" s="14" t="s">
        <v>359</v>
      </c>
      <c r="F184" s="14" t="s">
        <v>335</v>
      </c>
      <c r="G184" s="29" t="n">
        <v>47788</v>
      </c>
      <c r="H184" s="29" t="n">
        <v>47879</v>
      </c>
      <c r="I184" s="14" t="s">
        <v>360</v>
      </c>
      <c r="J184" s="14" t="s">
        <v>303</v>
      </c>
      <c r="K184" s="14" t="n">
        <v>92</v>
      </c>
      <c r="L184" s="16" t="n">
        <v>399.983997150288</v>
      </c>
      <c r="M184" s="30" t="n">
        <v>22.9096754759419</v>
      </c>
      <c r="N184" s="16" t="n">
        <v>32.0210207835556</v>
      </c>
      <c r="O184" s="16" t="n">
        <v>-22.515899167584</v>
      </c>
      <c r="P184" s="16" t="n">
        <v>-2.3762804039929</v>
      </c>
      <c r="Q184" s="16" t="n">
        <v>0.00152510724725765</v>
      </c>
      <c r="R184" s="16" t="n">
        <v>-13.9994399002601</v>
      </c>
      <c r="S184" s="16" t="n">
        <v>0</v>
      </c>
      <c r="T184" s="16" t="n">
        <v>15.6468255865499</v>
      </c>
      <c r="U184" s="16" t="n">
        <v>25</v>
      </c>
      <c r="V184" s="16" t="n">
        <v>25</v>
      </c>
      <c r="W184" s="16" t="n">
        <v>420.6875</v>
      </c>
      <c r="X184" s="16" t="n">
        <v>11.90625</v>
      </c>
      <c r="Y184" s="16" t="n">
        <v>11.90625</v>
      </c>
      <c r="Z184" s="16" t="n">
        <v>0</v>
      </c>
      <c r="AA184" s="16" t="n">
        <v>604.258006632588</v>
      </c>
      <c r="AB184" s="16" t="n">
        <v>0</v>
      </c>
      <c r="AC184" s="16" t="n">
        <v>408.78125</v>
      </c>
      <c r="AD184" s="16" t="n">
        <v>182.886525325164</v>
      </c>
      <c r="AE184" s="16" t="n">
        <v>12.5902313074239</v>
      </c>
      <c r="AF184" s="16" t="n">
        <v>0</v>
      </c>
      <c r="AG184" s="16" t="n">
        <v>195.476756632587</v>
      </c>
      <c r="AH184" s="16" t="n">
        <v>9.9193068939738</v>
      </c>
      <c r="AI184" s="16" t="n">
        <v>9.9193068939738</v>
      </c>
      <c r="AJ184" s="16" t="n">
        <v>1.5365</v>
      </c>
      <c r="AK184" s="16" t="n">
        <v>3.625</v>
      </c>
      <c r="AL184" s="16" t="n">
        <v>1.25</v>
      </c>
      <c r="AM184" s="16" t="n">
        <v>0</v>
      </c>
      <c r="AN184" s="16" t="n">
        <v>666.877006632587</v>
      </c>
      <c r="AO184" s="16" t="n">
        <v>0</v>
      </c>
      <c r="AP184" s="16" t="n">
        <v>195.476756632587</v>
      </c>
      <c r="AQ184" s="14" t="n">
        <v>0</v>
      </c>
      <c r="AR184" s="14" t="s">
        <v>372</v>
      </c>
      <c r="AS184" s="29"/>
      <c r="AT184" s="14" t="n">
        <v>222.250633660462</v>
      </c>
      <c r="AU184" s="17" t="n">
        <v>3.00056290346237</v>
      </c>
      <c r="AV184" s="17" t="n">
        <v>5.3949165883863</v>
      </c>
      <c r="AW184" s="16" t="n">
        <v>604.258006632588</v>
      </c>
      <c r="AX184" s="14" t="s">
        <v>361</v>
      </c>
      <c r="AY184" s="14" t="s">
        <v>257</v>
      </c>
      <c r="AZ184" s="14" t="s">
        <v>362</v>
      </c>
      <c r="BA184" s="14" t="s">
        <v>259</v>
      </c>
      <c r="BB184" s="14" t="s">
        <v>475</v>
      </c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</row>
    <row r="185" customFormat="false" ht="15" hidden="false" customHeight="false" outlineLevel="0" collapsed="false">
      <c r="C185" s="14" t="s">
        <v>279</v>
      </c>
      <c r="D185" s="14" t="s">
        <v>280</v>
      </c>
      <c r="E185" s="14" t="s">
        <v>252</v>
      </c>
      <c r="F185" s="14" t="s">
        <v>253</v>
      </c>
      <c r="G185" s="29" t="n">
        <v>46054</v>
      </c>
      <c r="H185" s="29" t="n">
        <v>46081</v>
      </c>
      <c r="I185" s="14" t="s">
        <v>254</v>
      </c>
      <c r="J185" s="14" t="s">
        <v>255</v>
      </c>
      <c r="K185" s="14" t="n">
        <v>28</v>
      </c>
      <c r="L185" s="16" t="n">
        <v>38.45966848425</v>
      </c>
      <c r="M185" s="30" t="n">
        <v>28.8693217195837</v>
      </c>
      <c r="N185" s="16" t="n">
        <v>3.92874040828301</v>
      </c>
      <c r="O185" s="16" t="n">
        <v>-8.4900849345702</v>
      </c>
      <c r="P185" s="16" t="n">
        <v>-0.440942187491901</v>
      </c>
      <c r="Q185" s="16" t="n">
        <v>-18.4515796935303</v>
      </c>
      <c r="R185" s="16" t="n">
        <v>-1.34608839694875</v>
      </c>
      <c r="S185" s="16" t="n">
        <v>-0.32</v>
      </c>
      <c r="T185" s="16" t="n">
        <v>-16.629869869688</v>
      </c>
      <c r="U185" s="16" t="n">
        <v>25</v>
      </c>
      <c r="V185" s="16" t="n">
        <v>25</v>
      </c>
      <c r="W185" s="16" t="n">
        <v>635</v>
      </c>
      <c r="X185" s="16" t="n">
        <v>0</v>
      </c>
      <c r="Y185" s="16" t="n">
        <v>0</v>
      </c>
      <c r="Z185" s="16" t="n">
        <v>0</v>
      </c>
      <c r="AA185" s="16" t="n">
        <v>0</v>
      </c>
      <c r="AB185" s="16" t="n">
        <v>0</v>
      </c>
      <c r="AC185" s="16" t="n">
        <v>635</v>
      </c>
      <c r="AD185" s="16" t="n">
        <v>29.89771875</v>
      </c>
      <c r="AE185" s="16" t="n">
        <v>23.7841938031328</v>
      </c>
      <c r="AF185" s="16" t="n">
        <v>0</v>
      </c>
      <c r="AG185" s="16" t="n">
        <v>53.6819125531328</v>
      </c>
      <c r="AH185" s="16" t="n">
        <v>4.83340726677822</v>
      </c>
      <c r="AI185" s="16" t="n">
        <v>4.83340726677822</v>
      </c>
      <c r="AJ185" s="16" t="n">
        <v>0.695916666666667</v>
      </c>
      <c r="AK185" s="16" t="n">
        <v>1.20833333333333</v>
      </c>
      <c r="AL185" s="16" t="n">
        <v>0.416666666666667</v>
      </c>
      <c r="AM185" s="16" t="n">
        <v>0</v>
      </c>
      <c r="AN185" s="16" t="n">
        <v>751.300912553133</v>
      </c>
      <c r="AO185" s="16" t="n">
        <v>240.118087446867</v>
      </c>
      <c r="AP185" s="16" t="n">
        <v>53.6819125531328</v>
      </c>
      <c r="AQ185" s="14" t="n">
        <v>240.118087446867</v>
      </c>
      <c r="AR185" s="14" t="s">
        <v>256</v>
      </c>
      <c r="AS185" s="29"/>
      <c r="AT185" s="14"/>
      <c r="AU185" s="17"/>
      <c r="AV185" s="17"/>
      <c r="AW185" s="16" t="n">
        <v>0</v>
      </c>
      <c r="AX185" s="14" t="s">
        <v>257</v>
      </c>
      <c r="AY185" s="14" t="s">
        <v>257</v>
      </c>
      <c r="AZ185" s="14" t="s">
        <v>258</v>
      </c>
      <c r="BA185" s="14" t="s">
        <v>259</v>
      </c>
      <c r="BB185" s="14" t="s">
        <v>476</v>
      </c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</row>
    <row r="186" customFormat="false" ht="15" hidden="false" customHeight="false" outlineLevel="0" collapsed="false">
      <c r="C186" s="14" t="s">
        <v>279</v>
      </c>
      <c r="D186" s="14" t="s">
        <v>280</v>
      </c>
      <c r="E186" s="14" t="s">
        <v>261</v>
      </c>
      <c r="F186" s="14" t="s">
        <v>253</v>
      </c>
      <c r="G186" s="29" t="n">
        <v>46082</v>
      </c>
      <c r="H186" s="29" t="n">
        <v>46112</v>
      </c>
      <c r="I186" s="14" t="s">
        <v>254</v>
      </c>
      <c r="J186" s="14" t="s">
        <v>255</v>
      </c>
      <c r="K186" s="14" t="n">
        <v>31</v>
      </c>
      <c r="L186" s="16" t="n">
        <v>96.149171210625</v>
      </c>
      <c r="M186" s="30" t="n">
        <v>28.8693217195837</v>
      </c>
      <c r="N186" s="16" t="n">
        <v>9.82185102070751</v>
      </c>
      <c r="O186" s="16" t="n">
        <v>-8.4900849345702</v>
      </c>
      <c r="P186" s="16" t="n">
        <v>-1.10235546872975</v>
      </c>
      <c r="Q186" s="16" t="n">
        <v>-46.1289492338258</v>
      </c>
      <c r="R186" s="16" t="n">
        <v>-3.36522099237188</v>
      </c>
      <c r="S186" s="16" t="n">
        <v>-0.8</v>
      </c>
      <c r="T186" s="16" t="n">
        <v>-41.5746746742199</v>
      </c>
      <c r="U186" s="16" t="n">
        <v>25</v>
      </c>
      <c r="V186" s="16" t="n">
        <v>25</v>
      </c>
      <c r="W186" s="16" t="n">
        <v>635</v>
      </c>
      <c r="X186" s="16" t="n">
        <v>0</v>
      </c>
      <c r="Y186" s="16" t="n">
        <v>0</v>
      </c>
      <c r="Z186" s="16" t="n">
        <v>0</v>
      </c>
      <c r="AA186" s="16" t="n">
        <v>0</v>
      </c>
      <c r="AB186" s="16" t="n">
        <v>0</v>
      </c>
      <c r="AC186" s="16" t="n">
        <v>635</v>
      </c>
      <c r="AD186" s="16" t="n">
        <v>53.6819125531328</v>
      </c>
      <c r="AE186" s="16" t="n">
        <v>48.9888590505631</v>
      </c>
      <c r="AF186" s="16" t="n">
        <v>0</v>
      </c>
      <c r="AG186" s="16" t="n">
        <v>102.670771603696</v>
      </c>
      <c r="AH186" s="16" t="n">
        <v>5.09326770967658</v>
      </c>
      <c r="AI186" s="16" t="n">
        <v>5.09326770967658</v>
      </c>
      <c r="AJ186" s="16" t="n">
        <v>0.695916666666667</v>
      </c>
      <c r="AK186" s="16" t="n">
        <v>1.20833333333333</v>
      </c>
      <c r="AL186" s="16" t="n">
        <v>0.416666666666667</v>
      </c>
      <c r="AM186" s="16" t="n">
        <v>0</v>
      </c>
      <c r="AN186" s="16" t="n">
        <v>800.289771603696</v>
      </c>
      <c r="AO186" s="16" t="n">
        <v>191.129228396304</v>
      </c>
      <c r="AP186" s="16" t="n">
        <v>102.670771603696</v>
      </c>
      <c r="AQ186" s="14" t="n">
        <v>191.129228396304</v>
      </c>
      <c r="AR186" s="14" t="s">
        <v>256</v>
      </c>
      <c r="AS186" s="29"/>
      <c r="AT186" s="14"/>
      <c r="AU186" s="17"/>
      <c r="AV186" s="17"/>
      <c r="AW186" s="16" t="n">
        <v>0</v>
      </c>
      <c r="AX186" s="14" t="s">
        <v>257</v>
      </c>
      <c r="AY186" s="14" t="s">
        <v>257</v>
      </c>
      <c r="AZ186" s="14" t="s">
        <v>258</v>
      </c>
      <c r="BA186" s="14" t="s">
        <v>259</v>
      </c>
      <c r="BB186" s="14" t="s">
        <v>477</v>
      </c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</row>
    <row r="187" customFormat="false" ht="15" hidden="false" customHeight="false" outlineLevel="0" collapsed="false">
      <c r="C187" s="14" t="s">
        <v>279</v>
      </c>
      <c r="D187" s="14" t="s">
        <v>280</v>
      </c>
      <c r="E187" s="14" t="s">
        <v>266</v>
      </c>
      <c r="F187" s="14" t="s">
        <v>253</v>
      </c>
      <c r="G187" s="29" t="n">
        <v>46113</v>
      </c>
      <c r="H187" s="29" t="n">
        <v>46142</v>
      </c>
      <c r="I187" s="14" t="s">
        <v>254</v>
      </c>
      <c r="J187" s="14" t="s">
        <v>255</v>
      </c>
      <c r="K187" s="14" t="n">
        <v>30</v>
      </c>
      <c r="L187" s="16" t="n">
        <v>249.987845147625</v>
      </c>
      <c r="M187" s="30" t="n">
        <v>28.8693217195837</v>
      </c>
      <c r="N187" s="16" t="n">
        <v>25.5368126538395</v>
      </c>
      <c r="O187" s="16" t="n">
        <v>-8.4900849345702</v>
      </c>
      <c r="P187" s="16" t="n">
        <v>-2.86612421869736</v>
      </c>
      <c r="Q187" s="16" t="n">
        <v>-119.935268007947</v>
      </c>
      <c r="R187" s="16" t="n">
        <v>-8.74957458016688</v>
      </c>
      <c r="S187" s="16" t="n">
        <v>-2.08</v>
      </c>
      <c r="T187" s="16" t="n">
        <v>-108.094154152972</v>
      </c>
      <c r="U187" s="16" t="n">
        <v>25</v>
      </c>
      <c r="V187" s="16" t="n">
        <v>25</v>
      </c>
      <c r="W187" s="16" t="n">
        <v>635</v>
      </c>
      <c r="X187" s="16" t="n">
        <v>11.90625</v>
      </c>
      <c r="Y187" s="16" t="n">
        <v>11.90625</v>
      </c>
      <c r="Z187" s="16" t="n">
        <v>0</v>
      </c>
      <c r="AA187" s="16" t="n">
        <v>0</v>
      </c>
      <c r="AB187" s="16" t="n">
        <v>0</v>
      </c>
      <c r="AC187" s="16" t="n">
        <v>623.09375</v>
      </c>
      <c r="AD187" s="16" t="n">
        <v>102.670771603696</v>
      </c>
      <c r="AE187" s="16" t="n">
        <v>128.004085601468</v>
      </c>
      <c r="AF187" s="16" t="n">
        <v>0</v>
      </c>
      <c r="AG187" s="16" t="n">
        <v>230.674857205164</v>
      </c>
      <c r="AH187" s="16" t="n">
        <v>5.68276478182971</v>
      </c>
      <c r="AI187" s="16" t="n">
        <v>5.68276478182971</v>
      </c>
      <c r="AJ187" s="16" t="n">
        <v>0.695916666666667</v>
      </c>
      <c r="AK187" s="16" t="n">
        <v>1.20833333333333</v>
      </c>
      <c r="AL187" s="16" t="n">
        <v>0.416666666666667</v>
      </c>
      <c r="AM187" s="16" t="n">
        <v>0</v>
      </c>
      <c r="AN187" s="16" t="n">
        <v>916.387607205164</v>
      </c>
      <c r="AO187" s="16" t="n">
        <v>63.125142794836</v>
      </c>
      <c r="AP187" s="16" t="n">
        <v>230.674857205164</v>
      </c>
      <c r="AQ187" s="14" t="n">
        <v>63.125142794836</v>
      </c>
      <c r="AR187" s="14" t="s">
        <v>256</v>
      </c>
      <c r="AS187" s="29"/>
      <c r="AT187" s="14"/>
      <c r="AU187" s="17"/>
      <c r="AV187" s="17"/>
      <c r="AW187" s="16" t="n">
        <v>0</v>
      </c>
      <c r="AX187" s="14" t="s">
        <v>257</v>
      </c>
      <c r="AY187" s="14" t="s">
        <v>257</v>
      </c>
      <c r="AZ187" s="14" t="s">
        <v>258</v>
      </c>
      <c r="BA187" s="14" t="s">
        <v>259</v>
      </c>
      <c r="BB187" s="14" t="s">
        <v>478</v>
      </c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</row>
    <row r="188" customFormat="false" ht="15" hidden="false" customHeight="false" outlineLevel="0" collapsed="false">
      <c r="C188" s="14" t="s">
        <v>279</v>
      </c>
      <c r="D188" s="14" t="s">
        <v>280</v>
      </c>
      <c r="E188" s="14" t="s">
        <v>270</v>
      </c>
      <c r="F188" s="14" t="s">
        <v>253</v>
      </c>
      <c r="G188" s="29" t="n">
        <v>46143</v>
      </c>
      <c r="H188" s="29" t="n">
        <v>46173</v>
      </c>
      <c r="I188" s="14" t="s">
        <v>254</v>
      </c>
      <c r="J188" s="14" t="s">
        <v>271</v>
      </c>
      <c r="K188" s="14" t="n">
        <v>31</v>
      </c>
      <c r="L188" s="16" t="n">
        <v>42.097152544875</v>
      </c>
      <c r="M188" s="30" t="n">
        <v>27.6901735836919</v>
      </c>
      <c r="N188" s="16" t="n">
        <v>3.80392968059394</v>
      </c>
      <c r="O188" s="16" t="n">
        <v>-9.2930702394357</v>
      </c>
      <c r="P188" s="16" t="n">
        <v>-0.35854919238446</v>
      </c>
      <c r="Q188" s="16" t="n">
        <v>1.60146836055032</v>
      </c>
      <c r="R188" s="16" t="n">
        <v>-1.47340033907063</v>
      </c>
      <c r="S188" s="16" t="n">
        <v>-0.25</v>
      </c>
      <c r="T188" s="16" t="n">
        <v>3.32344850968918</v>
      </c>
      <c r="U188" s="16" t="n">
        <v>25</v>
      </c>
      <c r="V188" s="16" t="n">
        <v>25</v>
      </c>
      <c r="W188" s="16" t="n">
        <v>623.09375</v>
      </c>
      <c r="X188" s="16" t="n">
        <v>0</v>
      </c>
      <c r="Y188" s="16" t="n">
        <v>0</v>
      </c>
      <c r="Z188" s="16" t="n">
        <v>0</v>
      </c>
      <c r="AA188" s="16" t="n">
        <v>0</v>
      </c>
      <c r="AB188" s="16" t="n">
        <v>0</v>
      </c>
      <c r="AC188" s="16" t="n">
        <v>623.09375</v>
      </c>
      <c r="AD188" s="16" t="n">
        <v>230.674857205164</v>
      </c>
      <c r="AE188" s="16" t="n">
        <v>4.08856521170882</v>
      </c>
      <c r="AF188" s="16" t="n">
        <v>0</v>
      </c>
      <c r="AG188" s="16" t="n">
        <v>234.763422416873</v>
      </c>
      <c r="AH188" s="16" t="n">
        <v>6.11193038806466</v>
      </c>
      <c r="AI188" s="16" t="n">
        <v>6.11193038806466</v>
      </c>
      <c r="AJ188" s="16" t="n">
        <v>0.695916666666667</v>
      </c>
      <c r="AK188" s="16" t="n">
        <v>0.604166666666667</v>
      </c>
      <c r="AL188" s="16" t="n">
        <v>0</v>
      </c>
      <c r="AM188" s="16" t="n">
        <v>0</v>
      </c>
      <c r="AN188" s="16" t="n">
        <v>920.476172416873</v>
      </c>
      <c r="AO188" s="16" t="n">
        <v>59.0365775831272</v>
      </c>
      <c r="AP188" s="16" t="n">
        <v>234.763422416873</v>
      </c>
      <c r="AQ188" s="14" t="n">
        <v>59.0365775831272</v>
      </c>
      <c r="AR188" s="14" t="s">
        <v>256</v>
      </c>
      <c r="AS188" s="29"/>
      <c r="AT188" s="14"/>
      <c r="AU188" s="17"/>
      <c r="AV188" s="17"/>
      <c r="AW188" s="16" t="n">
        <v>0</v>
      </c>
      <c r="AX188" s="14" t="s">
        <v>257</v>
      </c>
      <c r="AY188" s="14" t="s">
        <v>257</v>
      </c>
      <c r="AZ188" s="14" t="s">
        <v>258</v>
      </c>
      <c r="BA188" s="14" t="s">
        <v>259</v>
      </c>
      <c r="BB188" s="14" t="s">
        <v>479</v>
      </c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</row>
    <row r="189" customFormat="false" ht="15" hidden="false" customHeight="false" outlineLevel="0" collapsed="false">
      <c r="C189" s="14" t="s">
        <v>279</v>
      </c>
      <c r="D189" s="14" t="s">
        <v>280</v>
      </c>
      <c r="E189" s="14" t="s">
        <v>277</v>
      </c>
      <c r="F189" s="14" t="s">
        <v>253</v>
      </c>
      <c r="G189" s="29" t="n">
        <v>46174</v>
      </c>
      <c r="H189" s="29" t="n">
        <v>46203</v>
      </c>
      <c r="I189" s="14" t="s">
        <v>254</v>
      </c>
      <c r="J189" s="14" t="s">
        <v>271</v>
      </c>
      <c r="K189" s="14" t="n">
        <v>30</v>
      </c>
      <c r="L189" s="16" t="n">
        <v>105.242881362188</v>
      </c>
      <c r="M189" s="30" t="n">
        <v>27.6901735836919</v>
      </c>
      <c r="N189" s="16" t="n">
        <v>9.50982420148486</v>
      </c>
      <c r="O189" s="16" t="n">
        <v>-9.2930702394357</v>
      </c>
      <c r="P189" s="16" t="n">
        <v>-0.896372980961149</v>
      </c>
      <c r="Q189" s="16" t="n">
        <v>4.0036709013758</v>
      </c>
      <c r="R189" s="16" t="n">
        <v>-3.68350084767656</v>
      </c>
      <c r="S189" s="16" t="n">
        <v>-0.625</v>
      </c>
      <c r="T189" s="16" t="n">
        <v>8.30862127422294</v>
      </c>
      <c r="U189" s="16" t="n">
        <v>25</v>
      </c>
      <c r="V189" s="16" t="n">
        <v>25</v>
      </c>
      <c r="W189" s="16" t="n">
        <v>623.09375</v>
      </c>
      <c r="X189" s="16" t="n">
        <v>0</v>
      </c>
      <c r="Y189" s="16" t="n">
        <v>0</v>
      </c>
      <c r="Z189" s="16" t="n">
        <v>0</v>
      </c>
      <c r="AA189" s="16" t="n">
        <v>0</v>
      </c>
      <c r="AB189" s="16" t="n">
        <v>0</v>
      </c>
      <c r="AC189" s="16" t="n">
        <v>623.09375</v>
      </c>
      <c r="AD189" s="16" t="n">
        <v>234.763422416873</v>
      </c>
      <c r="AE189" s="16" t="n">
        <v>0</v>
      </c>
      <c r="AF189" s="16" t="n">
        <v>0.885168757985232</v>
      </c>
      <c r="AG189" s="16" t="n">
        <v>233.878253658888</v>
      </c>
      <c r="AH189" s="16" t="n">
        <v>6.12336918290437</v>
      </c>
      <c r="AI189" s="16" t="n">
        <v>6.12336918290437</v>
      </c>
      <c r="AJ189" s="16" t="n">
        <v>0.695916666666667</v>
      </c>
      <c r="AK189" s="16" t="n">
        <v>0.604166666666667</v>
      </c>
      <c r="AL189" s="16" t="n">
        <v>0</v>
      </c>
      <c r="AM189" s="16" t="n">
        <v>0</v>
      </c>
      <c r="AN189" s="16" t="n">
        <v>919.591003658888</v>
      </c>
      <c r="AO189" s="16" t="n">
        <v>59.9217463411124</v>
      </c>
      <c r="AP189" s="16" t="n">
        <v>233.878253658888</v>
      </c>
      <c r="AQ189" s="14" t="n">
        <v>59.9217463411124</v>
      </c>
      <c r="AR189" s="14" t="s">
        <v>256</v>
      </c>
      <c r="AS189" s="29"/>
      <c r="AT189" s="14"/>
      <c r="AU189" s="17"/>
      <c r="AV189" s="17"/>
      <c r="AW189" s="16" t="n">
        <v>0</v>
      </c>
      <c r="AX189" s="14" t="s">
        <v>257</v>
      </c>
      <c r="AY189" s="14" t="s">
        <v>257</v>
      </c>
      <c r="AZ189" s="14" t="s">
        <v>258</v>
      </c>
      <c r="BA189" s="14" t="s">
        <v>259</v>
      </c>
      <c r="BB189" s="14" t="s">
        <v>480</v>
      </c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</row>
    <row r="190" customFormat="false" ht="15" hidden="false" customHeight="false" outlineLevel="0" collapsed="false">
      <c r="C190" s="14" t="s">
        <v>279</v>
      </c>
      <c r="D190" s="14" t="s">
        <v>280</v>
      </c>
      <c r="E190" s="14" t="s">
        <v>282</v>
      </c>
      <c r="F190" s="14" t="s">
        <v>253</v>
      </c>
      <c r="G190" s="29" t="n">
        <v>46204</v>
      </c>
      <c r="H190" s="29" t="n">
        <v>46234</v>
      </c>
      <c r="I190" s="14" t="s">
        <v>254</v>
      </c>
      <c r="J190" s="14" t="s">
        <v>271</v>
      </c>
      <c r="K190" s="14" t="n">
        <v>31</v>
      </c>
      <c r="L190" s="16" t="n">
        <v>273.631491541688</v>
      </c>
      <c r="M190" s="30" t="n">
        <v>27.6901735836919</v>
      </c>
      <c r="N190" s="16" t="n">
        <v>24.7255429238606</v>
      </c>
      <c r="O190" s="16" t="n">
        <v>-9.2930702394357</v>
      </c>
      <c r="P190" s="16" t="n">
        <v>-2.33056975049899</v>
      </c>
      <c r="Q190" s="16" t="n">
        <v>10.4095443435771</v>
      </c>
      <c r="R190" s="16" t="n">
        <v>-9.57710220395906</v>
      </c>
      <c r="S190" s="16" t="n">
        <v>-1.625</v>
      </c>
      <c r="T190" s="16" t="n">
        <v>21.6024153129796</v>
      </c>
      <c r="U190" s="16" t="n">
        <v>25</v>
      </c>
      <c r="V190" s="16" t="n">
        <v>25</v>
      </c>
      <c r="W190" s="16" t="n">
        <v>623.09375</v>
      </c>
      <c r="X190" s="16" t="n">
        <v>11.90625</v>
      </c>
      <c r="Y190" s="16" t="n">
        <v>11.90625</v>
      </c>
      <c r="Z190" s="16" t="n">
        <v>0</v>
      </c>
      <c r="AA190" s="16" t="n">
        <v>0</v>
      </c>
      <c r="AB190" s="16" t="n">
        <v>0</v>
      </c>
      <c r="AC190" s="16" t="n">
        <v>611.1875</v>
      </c>
      <c r="AD190" s="16" t="n">
        <v>233.878253658888</v>
      </c>
      <c r="AE190" s="16" t="n">
        <v>0</v>
      </c>
      <c r="AF190" s="16" t="n">
        <v>2.32669706867212</v>
      </c>
      <c r="AG190" s="16" t="n">
        <v>231.551556590216</v>
      </c>
      <c r="AH190" s="16" t="n">
        <v>6.06938491097419</v>
      </c>
      <c r="AI190" s="16" t="n">
        <v>6.06938491097419</v>
      </c>
      <c r="AJ190" s="16" t="n">
        <v>0.695916666666667</v>
      </c>
      <c r="AK190" s="16" t="n">
        <v>0.604166666666667</v>
      </c>
      <c r="AL190" s="16" t="n">
        <v>0</v>
      </c>
      <c r="AM190" s="16" t="n">
        <v>0</v>
      </c>
      <c r="AN190" s="16" t="n">
        <v>905.358056590216</v>
      </c>
      <c r="AO190" s="16" t="n">
        <v>62.2484434097845</v>
      </c>
      <c r="AP190" s="16" t="n">
        <v>231.551556590216</v>
      </c>
      <c r="AQ190" s="14" t="n">
        <v>62.2484434097845</v>
      </c>
      <c r="AR190" s="14" t="s">
        <v>256</v>
      </c>
      <c r="AS190" s="29"/>
      <c r="AT190" s="14"/>
      <c r="AU190" s="17"/>
      <c r="AV190" s="17"/>
      <c r="AW190" s="16" t="n">
        <v>0</v>
      </c>
      <c r="AX190" s="14" t="s">
        <v>257</v>
      </c>
      <c r="AY190" s="14" t="s">
        <v>257</v>
      </c>
      <c r="AZ190" s="14" t="s">
        <v>258</v>
      </c>
      <c r="BA190" s="14" t="s">
        <v>259</v>
      </c>
      <c r="BB190" s="14" t="s">
        <v>481</v>
      </c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</row>
    <row r="191" customFormat="false" ht="15" hidden="false" customHeight="false" outlineLevel="0" collapsed="false">
      <c r="C191" s="14" t="s">
        <v>279</v>
      </c>
      <c r="D191" s="14" t="s">
        <v>280</v>
      </c>
      <c r="E191" s="14" t="s">
        <v>287</v>
      </c>
      <c r="F191" s="14" t="s">
        <v>253</v>
      </c>
      <c r="G191" s="29" t="n">
        <v>46235</v>
      </c>
      <c r="H191" s="29" t="n">
        <v>46265</v>
      </c>
      <c r="I191" s="14" t="s">
        <v>254</v>
      </c>
      <c r="J191" s="14" t="s">
        <v>288</v>
      </c>
      <c r="K191" s="14" t="n">
        <v>31</v>
      </c>
      <c r="L191" s="16" t="n">
        <v>41.63586907725</v>
      </c>
      <c r="M191" s="30" t="n">
        <v>27.9159174302794</v>
      </c>
      <c r="N191" s="16" t="n">
        <v>3.85623817944505</v>
      </c>
      <c r="O191" s="16" t="n">
        <v>-9.1912405572414</v>
      </c>
      <c r="P191" s="16" t="n">
        <v>-0.378117959337123</v>
      </c>
      <c r="Q191" s="16" t="n">
        <v>1.58095034901936</v>
      </c>
      <c r="R191" s="16" t="n">
        <v>-1.45725541770375</v>
      </c>
      <c r="S191" s="16" t="n">
        <v>-0.25</v>
      </c>
      <c r="T191" s="16" t="n">
        <v>3.35181515142353</v>
      </c>
      <c r="U191" s="16" t="n">
        <v>25</v>
      </c>
      <c r="V191" s="16" t="n">
        <v>25</v>
      </c>
      <c r="W191" s="16" t="n">
        <v>611.1875</v>
      </c>
      <c r="X191" s="16" t="n">
        <v>0</v>
      </c>
      <c r="Y191" s="16" t="n">
        <v>0</v>
      </c>
      <c r="Z191" s="16" t="n">
        <v>0</v>
      </c>
      <c r="AA191" s="16" t="n">
        <v>0</v>
      </c>
      <c r="AB191" s="16" t="n">
        <v>0</v>
      </c>
      <c r="AC191" s="16" t="n">
        <v>611.1875</v>
      </c>
      <c r="AD191" s="16" t="n">
        <v>231.551556590216</v>
      </c>
      <c r="AE191" s="16" t="n">
        <v>3.98104526017249</v>
      </c>
      <c r="AF191" s="16" t="n">
        <v>0</v>
      </c>
      <c r="AG191" s="16" t="n">
        <v>235.532601850388</v>
      </c>
      <c r="AH191" s="16" t="n">
        <v>6.03277707826269</v>
      </c>
      <c r="AI191" s="16" t="n">
        <v>6.03277707826269</v>
      </c>
      <c r="AJ191" s="16" t="n">
        <v>0.695916666666667</v>
      </c>
      <c r="AK191" s="16" t="n">
        <v>0.604166666666667</v>
      </c>
      <c r="AL191" s="16" t="n">
        <v>0</v>
      </c>
      <c r="AM191" s="16" t="n">
        <v>0</v>
      </c>
      <c r="AN191" s="16" t="n">
        <v>909.339101850388</v>
      </c>
      <c r="AO191" s="16" t="n">
        <v>58.267398149612</v>
      </c>
      <c r="AP191" s="16" t="n">
        <v>235.532601850388</v>
      </c>
      <c r="AQ191" s="14" t="n">
        <v>58.267398149612</v>
      </c>
      <c r="AR191" s="14" t="s">
        <v>256</v>
      </c>
      <c r="AS191" s="29"/>
      <c r="AT191" s="14"/>
      <c r="AU191" s="17"/>
      <c r="AV191" s="17"/>
      <c r="AW191" s="16" t="n">
        <v>0</v>
      </c>
      <c r="AX191" s="14" t="s">
        <v>257</v>
      </c>
      <c r="AY191" s="14" t="s">
        <v>257</v>
      </c>
      <c r="AZ191" s="14" t="s">
        <v>258</v>
      </c>
      <c r="BA191" s="14" t="s">
        <v>259</v>
      </c>
      <c r="BB191" s="14" t="s">
        <v>482</v>
      </c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</row>
    <row r="192" customFormat="false" ht="15" hidden="false" customHeight="false" outlineLevel="0" collapsed="false">
      <c r="C192" s="14" t="s">
        <v>279</v>
      </c>
      <c r="D192" s="14" t="s">
        <v>280</v>
      </c>
      <c r="E192" s="14" t="s">
        <v>293</v>
      </c>
      <c r="F192" s="14" t="s">
        <v>253</v>
      </c>
      <c r="G192" s="29" t="n">
        <v>46266</v>
      </c>
      <c r="H192" s="29" t="n">
        <v>46295</v>
      </c>
      <c r="I192" s="14" t="s">
        <v>254</v>
      </c>
      <c r="J192" s="14" t="s">
        <v>288</v>
      </c>
      <c r="K192" s="14" t="n">
        <v>30</v>
      </c>
      <c r="L192" s="16" t="n">
        <v>104.089672693125</v>
      </c>
      <c r="M192" s="30" t="n">
        <v>27.9159174302794</v>
      </c>
      <c r="N192" s="16" t="n">
        <v>9.64059544861262</v>
      </c>
      <c r="O192" s="16" t="n">
        <v>-9.1912405572414</v>
      </c>
      <c r="P192" s="16" t="n">
        <v>-0.945294898342807</v>
      </c>
      <c r="Q192" s="16" t="n">
        <v>3.95237587254839</v>
      </c>
      <c r="R192" s="16" t="n">
        <v>-3.64313854425938</v>
      </c>
      <c r="S192" s="16" t="n">
        <v>-0.625</v>
      </c>
      <c r="T192" s="16" t="n">
        <v>8.37953787855883</v>
      </c>
      <c r="U192" s="16" t="n">
        <v>25</v>
      </c>
      <c r="V192" s="16" t="n">
        <v>25</v>
      </c>
      <c r="W192" s="16" t="n">
        <v>611.1875</v>
      </c>
      <c r="X192" s="16" t="n">
        <v>0</v>
      </c>
      <c r="Y192" s="16" t="n">
        <v>0</v>
      </c>
      <c r="Z192" s="16" t="n">
        <v>0</v>
      </c>
      <c r="AA192" s="16" t="n">
        <v>0</v>
      </c>
      <c r="AB192" s="16" t="n">
        <v>0</v>
      </c>
      <c r="AC192" s="16" t="n">
        <v>611.1875</v>
      </c>
      <c r="AD192" s="16" t="n">
        <v>235.532601850388</v>
      </c>
      <c r="AE192" s="16" t="n">
        <v>0</v>
      </c>
      <c r="AF192" s="16" t="n">
        <v>1.03616177886206</v>
      </c>
      <c r="AG192" s="16" t="n">
        <v>234.496440071526</v>
      </c>
      <c r="AH192" s="16" t="n">
        <v>6.04329276636343</v>
      </c>
      <c r="AI192" s="16" t="n">
        <v>6.04329276636343</v>
      </c>
      <c r="AJ192" s="16" t="n">
        <v>0.695916666666667</v>
      </c>
      <c r="AK192" s="16" t="n">
        <v>0.604166666666667</v>
      </c>
      <c r="AL192" s="16" t="n">
        <v>0</v>
      </c>
      <c r="AM192" s="16" t="n">
        <v>0</v>
      </c>
      <c r="AN192" s="16" t="n">
        <v>908.302940071526</v>
      </c>
      <c r="AO192" s="16" t="n">
        <v>59.3035599284741</v>
      </c>
      <c r="AP192" s="16" t="n">
        <v>234.496440071526</v>
      </c>
      <c r="AQ192" s="14" t="n">
        <v>59.3035599284741</v>
      </c>
      <c r="AR192" s="14" t="s">
        <v>256</v>
      </c>
      <c r="AS192" s="29"/>
      <c r="AT192" s="14"/>
      <c r="AU192" s="17"/>
      <c r="AV192" s="17"/>
      <c r="AW192" s="16" t="n">
        <v>0</v>
      </c>
      <c r="AX192" s="14" t="s">
        <v>257</v>
      </c>
      <c r="AY192" s="14" t="s">
        <v>257</v>
      </c>
      <c r="AZ192" s="14" t="s">
        <v>258</v>
      </c>
      <c r="BA192" s="14" t="s">
        <v>259</v>
      </c>
      <c r="BB192" s="14" t="s">
        <v>483</v>
      </c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</row>
    <row r="193" customFormat="false" ht="15" hidden="false" customHeight="false" outlineLevel="0" collapsed="false">
      <c r="C193" s="14" t="s">
        <v>279</v>
      </c>
      <c r="D193" s="14" t="s">
        <v>280</v>
      </c>
      <c r="E193" s="14" t="s">
        <v>297</v>
      </c>
      <c r="F193" s="14" t="s">
        <v>253</v>
      </c>
      <c r="G193" s="29" t="n">
        <v>46296</v>
      </c>
      <c r="H193" s="29" t="n">
        <v>46326</v>
      </c>
      <c r="I193" s="14" t="s">
        <v>254</v>
      </c>
      <c r="J193" s="14" t="s">
        <v>288</v>
      </c>
      <c r="K193" s="14" t="n">
        <v>31</v>
      </c>
      <c r="L193" s="16" t="n">
        <v>270.633149002125</v>
      </c>
      <c r="M193" s="30" t="n">
        <v>27.9159174302794</v>
      </c>
      <c r="N193" s="16" t="n">
        <v>25.0655481663928</v>
      </c>
      <c r="O193" s="16" t="n">
        <v>-9.1912405572414</v>
      </c>
      <c r="P193" s="16" t="n">
        <v>-2.4577667356913</v>
      </c>
      <c r="Q193" s="16" t="n">
        <v>10.2761772686258</v>
      </c>
      <c r="R193" s="16" t="n">
        <v>-9.47216021507438</v>
      </c>
      <c r="S193" s="16" t="n">
        <v>-1.625</v>
      </c>
      <c r="T193" s="16" t="n">
        <v>21.786798484253</v>
      </c>
      <c r="U193" s="16" t="n">
        <v>25</v>
      </c>
      <c r="V193" s="16" t="n">
        <v>25</v>
      </c>
      <c r="W193" s="16" t="n">
        <v>611.1875</v>
      </c>
      <c r="X193" s="16" t="n">
        <v>11.90625</v>
      </c>
      <c r="Y193" s="16" t="n">
        <v>11.90625</v>
      </c>
      <c r="Z193" s="16" t="n">
        <v>0</v>
      </c>
      <c r="AA193" s="16" t="n">
        <v>0</v>
      </c>
      <c r="AB193" s="16" t="n">
        <v>0</v>
      </c>
      <c r="AC193" s="16" t="n">
        <v>599.28125</v>
      </c>
      <c r="AD193" s="16" t="n">
        <v>234.496440071526</v>
      </c>
      <c r="AE193" s="16" t="n">
        <v>0</v>
      </c>
      <c r="AF193" s="16" t="n">
        <v>2.59264548486785</v>
      </c>
      <c r="AG193" s="16" t="n">
        <v>231.903794586658</v>
      </c>
      <c r="AH193" s="16" t="n">
        <v>5.98781966605177</v>
      </c>
      <c r="AI193" s="16" t="n">
        <v>5.98781966605177</v>
      </c>
      <c r="AJ193" s="16" t="n">
        <v>0.695916666666667</v>
      </c>
      <c r="AK193" s="16" t="n">
        <v>0.604166666666667</v>
      </c>
      <c r="AL193" s="16" t="n">
        <v>0</v>
      </c>
      <c r="AM193" s="16" t="n">
        <v>0</v>
      </c>
      <c r="AN193" s="16" t="n">
        <v>893.804044586658</v>
      </c>
      <c r="AO193" s="16" t="n">
        <v>61.8962054133419</v>
      </c>
      <c r="AP193" s="16" t="n">
        <v>231.903794586658</v>
      </c>
      <c r="AQ193" s="14" t="n">
        <v>61.8962054133419</v>
      </c>
      <c r="AR193" s="14" t="s">
        <v>372</v>
      </c>
      <c r="AS193" s="29"/>
      <c r="AT193" s="14" t="n">
        <v>147.914106394588</v>
      </c>
      <c r="AU193" s="17" t="n">
        <v>6.04272348576593</v>
      </c>
      <c r="AV193" s="17"/>
      <c r="AW193" s="16" t="n">
        <v>0</v>
      </c>
      <c r="AX193" s="14" t="s">
        <v>257</v>
      </c>
      <c r="AY193" s="14" t="s">
        <v>257</v>
      </c>
      <c r="AZ193" s="14" t="s">
        <v>373</v>
      </c>
      <c r="BA193" s="14" t="s">
        <v>259</v>
      </c>
      <c r="BB193" s="14" t="s">
        <v>484</v>
      </c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</row>
    <row r="194" customFormat="false" ht="15" hidden="false" customHeight="false" outlineLevel="0" collapsed="false">
      <c r="C194" s="14" t="s">
        <v>279</v>
      </c>
      <c r="D194" s="14" t="s">
        <v>280</v>
      </c>
      <c r="E194" s="14" t="s">
        <v>301</v>
      </c>
      <c r="F194" s="14" t="s">
        <v>253</v>
      </c>
      <c r="G194" s="29" t="n">
        <v>46327</v>
      </c>
      <c r="H194" s="29" t="n">
        <v>46356</v>
      </c>
      <c r="I194" s="14" t="s">
        <v>302</v>
      </c>
      <c r="J194" s="14" t="s">
        <v>303</v>
      </c>
      <c r="K194" s="14" t="n">
        <v>30</v>
      </c>
      <c r="L194" s="16" t="n">
        <v>34.0020398342523</v>
      </c>
      <c r="M194" s="30" t="n">
        <v>22.9096754759419</v>
      </c>
      <c r="N194" s="16" t="n">
        <v>1.44698246850644</v>
      </c>
      <c r="O194" s="16" t="n">
        <v>-7.50605029941072</v>
      </c>
      <c r="P194" s="16" t="n">
        <v>0</v>
      </c>
      <c r="Q194" s="16" t="n">
        <v>1.35681565319945</v>
      </c>
      <c r="R194" s="16" t="n">
        <v>-1.19007139419883</v>
      </c>
      <c r="S194" s="16" t="n">
        <v>-0.25</v>
      </c>
      <c r="T194" s="16" t="n">
        <v>1.36372672750706</v>
      </c>
      <c r="U194" s="16" t="n">
        <v>25</v>
      </c>
      <c r="V194" s="16" t="n">
        <v>25</v>
      </c>
      <c r="W194" s="16" t="n">
        <v>599.28125</v>
      </c>
      <c r="X194" s="16" t="n">
        <v>0</v>
      </c>
      <c r="Y194" s="16" t="n">
        <v>0</v>
      </c>
      <c r="Z194" s="16" t="n">
        <v>0</v>
      </c>
      <c r="AA194" s="16" t="n">
        <v>0</v>
      </c>
      <c r="AB194" s="16" t="n">
        <v>0</v>
      </c>
      <c r="AC194" s="16" t="n">
        <v>599.28125</v>
      </c>
      <c r="AD194" s="16" t="n">
        <v>231.903794586658</v>
      </c>
      <c r="AE194" s="16" t="n">
        <v>5.86668542177285</v>
      </c>
      <c r="AF194" s="16" t="n">
        <v>0</v>
      </c>
      <c r="AG194" s="16" t="n">
        <v>237.770480008431</v>
      </c>
      <c r="AH194" s="16" t="n">
        <v>5.95699548261324</v>
      </c>
      <c r="AI194" s="16" t="n">
        <v>5.95699548261324</v>
      </c>
      <c r="AJ194" s="16" t="n">
        <v>0.66925</v>
      </c>
      <c r="AK194" s="16" t="n">
        <v>0.604166666666667</v>
      </c>
      <c r="AL194" s="16" t="n">
        <v>0</v>
      </c>
      <c r="AM194" s="16" t="n">
        <v>0</v>
      </c>
      <c r="AN194" s="16" t="n">
        <v>899.670730008431</v>
      </c>
      <c r="AO194" s="16" t="n">
        <v>56.0295199915691</v>
      </c>
      <c r="AP194" s="16" t="n">
        <v>237.770480008431</v>
      </c>
      <c r="AQ194" s="14" t="n">
        <v>56.0295199915691</v>
      </c>
      <c r="AR194" s="14" t="s">
        <v>372</v>
      </c>
      <c r="AS194" s="29"/>
      <c r="AT194" s="14" t="n">
        <v>138.686080959305</v>
      </c>
      <c r="AU194" s="17" t="n">
        <v>6.48710183304136</v>
      </c>
      <c r="AV194" s="17"/>
      <c r="AW194" s="16" t="n">
        <v>0</v>
      </c>
      <c r="AX194" s="14" t="s">
        <v>257</v>
      </c>
      <c r="AY194" s="14" t="s">
        <v>257</v>
      </c>
      <c r="AZ194" s="14" t="s">
        <v>373</v>
      </c>
      <c r="BA194" s="14" t="s">
        <v>259</v>
      </c>
      <c r="BB194" s="14" t="s">
        <v>485</v>
      </c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</row>
    <row r="195" customFormat="false" ht="15" hidden="false" customHeight="false" outlineLevel="0" collapsed="false">
      <c r="C195" s="14" t="s">
        <v>279</v>
      </c>
      <c r="D195" s="14" t="s">
        <v>280</v>
      </c>
      <c r="E195" s="14" t="s">
        <v>305</v>
      </c>
      <c r="F195" s="14" t="s">
        <v>253</v>
      </c>
      <c r="G195" s="29" t="n">
        <v>46357</v>
      </c>
      <c r="H195" s="29" t="n">
        <v>46387</v>
      </c>
      <c r="I195" s="14" t="s">
        <v>302</v>
      </c>
      <c r="J195" s="14" t="s">
        <v>303</v>
      </c>
      <c r="K195" s="14" t="n">
        <v>31</v>
      </c>
      <c r="L195" s="16" t="n">
        <v>85.0050995856308</v>
      </c>
      <c r="M195" s="30" t="n">
        <v>22.9096754759419</v>
      </c>
      <c r="N195" s="16" t="n">
        <v>3.6174561712661</v>
      </c>
      <c r="O195" s="16" t="n">
        <v>-7.50605029941072</v>
      </c>
      <c r="P195" s="16" t="n">
        <v>0</v>
      </c>
      <c r="Q195" s="16" t="n">
        <v>3.39203913299863</v>
      </c>
      <c r="R195" s="16" t="n">
        <v>-2.97517848549708</v>
      </c>
      <c r="S195" s="16" t="n">
        <v>-0.625</v>
      </c>
      <c r="T195" s="16" t="n">
        <v>3.40931681876765</v>
      </c>
      <c r="U195" s="16" t="n">
        <v>25</v>
      </c>
      <c r="V195" s="16" t="n">
        <v>25</v>
      </c>
      <c r="W195" s="16" t="n">
        <v>599.28125</v>
      </c>
      <c r="X195" s="16" t="n">
        <v>0</v>
      </c>
      <c r="Y195" s="16" t="n">
        <v>0</v>
      </c>
      <c r="Z195" s="16" t="n">
        <v>0</v>
      </c>
      <c r="AA195" s="16" t="n">
        <v>0</v>
      </c>
      <c r="AB195" s="16" t="n">
        <v>0</v>
      </c>
      <c r="AC195" s="16" t="n">
        <v>599.28125</v>
      </c>
      <c r="AD195" s="16" t="n">
        <v>237.770480008431</v>
      </c>
      <c r="AE195" s="16" t="n">
        <v>3.85581275107229</v>
      </c>
      <c r="AF195" s="16" t="n">
        <v>0</v>
      </c>
      <c r="AG195" s="16" t="n">
        <v>241.626292759503</v>
      </c>
      <c r="AH195" s="16" t="n">
        <v>5.99171290317327</v>
      </c>
      <c r="AI195" s="16" t="n">
        <v>5.99171290317327</v>
      </c>
      <c r="AJ195" s="16" t="n">
        <v>0.66925</v>
      </c>
      <c r="AK195" s="16" t="n">
        <v>0.604166666666667</v>
      </c>
      <c r="AL195" s="16" t="n">
        <v>0</v>
      </c>
      <c r="AM195" s="16" t="n">
        <v>0</v>
      </c>
      <c r="AN195" s="16" t="n">
        <v>903.526542759503</v>
      </c>
      <c r="AO195" s="16" t="n">
        <v>52.1737072404968</v>
      </c>
      <c r="AP195" s="16" t="n">
        <v>241.626292759503</v>
      </c>
      <c r="AQ195" s="14" t="n">
        <v>52.1737072404968</v>
      </c>
      <c r="AR195" s="14" t="s">
        <v>372</v>
      </c>
      <c r="AS195" s="29"/>
      <c r="AT195" s="14" t="n">
        <v>131.628529226782</v>
      </c>
      <c r="AU195" s="17" t="n">
        <v>6.86421513684791</v>
      </c>
      <c r="AV195" s="17"/>
      <c r="AW195" s="16" t="n">
        <v>0</v>
      </c>
      <c r="AX195" s="14" t="s">
        <v>257</v>
      </c>
      <c r="AY195" s="14" t="s">
        <v>257</v>
      </c>
      <c r="AZ195" s="14" t="s">
        <v>373</v>
      </c>
      <c r="BA195" s="14" t="s">
        <v>259</v>
      </c>
      <c r="BB195" s="14" t="s">
        <v>486</v>
      </c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</row>
    <row r="196" customFormat="false" ht="15" hidden="false" customHeight="false" outlineLevel="0" collapsed="false">
      <c r="C196" s="14" t="s">
        <v>279</v>
      </c>
      <c r="D196" s="14" t="s">
        <v>280</v>
      </c>
      <c r="E196" s="14" t="s">
        <v>307</v>
      </c>
      <c r="F196" s="14" t="s">
        <v>253</v>
      </c>
      <c r="G196" s="29" t="n">
        <v>46388</v>
      </c>
      <c r="H196" s="29" t="n">
        <v>46418</v>
      </c>
      <c r="I196" s="14" t="s">
        <v>302</v>
      </c>
      <c r="J196" s="14" t="s">
        <v>303</v>
      </c>
      <c r="K196" s="14" t="n">
        <v>31</v>
      </c>
      <c r="L196" s="16" t="n">
        <v>221.01325892264</v>
      </c>
      <c r="M196" s="30" t="n">
        <v>22.9096754759419</v>
      </c>
      <c r="N196" s="16" t="n">
        <v>9.40538604529186</v>
      </c>
      <c r="O196" s="16" t="n">
        <v>-7.50605029941072</v>
      </c>
      <c r="P196" s="16" t="n">
        <v>0</v>
      </c>
      <c r="Q196" s="16" t="n">
        <v>8.81930174579643</v>
      </c>
      <c r="R196" s="16" t="n">
        <v>-7.73546406229241</v>
      </c>
      <c r="S196" s="16" t="n">
        <v>-1.625</v>
      </c>
      <c r="T196" s="16" t="n">
        <v>8.86422372879588</v>
      </c>
      <c r="U196" s="16" t="n">
        <v>25</v>
      </c>
      <c r="V196" s="16" t="n">
        <v>25</v>
      </c>
      <c r="W196" s="16" t="n">
        <v>599.28125</v>
      </c>
      <c r="X196" s="16" t="n">
        <v>11.90625</v>
      </c>
      <c r="Y196" s="16" t="n">
        <v>11.90625</v>
      </c>
      <c r="Z196" s="16" t="n">
        <v>0</v>
      </c>
      <c r="AA196" s="16" t="n">
        <v>0</v>
      </c>
      <c r="AB196" s="16" t="n">
        <v>0</v>
      </c>
      <c r="AC196" s="16" t="n">
        <v>587.375</v>
      </c>
      <c r="AD196" s="16" t="n">
        <v>241.626292759503</v>
      </c>
      <c r="AE196" s="16" t="n">
        <v>10.31524308522</v>
      </c>
      <c r="AF196" s="16" t="n">
        <v>0</v>
      </c>
      <c r="AG196" s="16" t="n">
        <v>251.941535844723</v>
      </c>
      <c r="AH196" s="16" t="n">
        <v>5.99980014734924</v>
      </c>
      <c r="AI196" s="16" t="n">
        <v>5.99980014734924</v>
      </c>
      <c r="AJ196" s="16" t="n">
        <v>0.66925</v>
      </c>
      <c r="AK196" s="16" t="n">
        <v>0.604166666666667</v>
      </c>
      <c r="AL196" s="16" t="n">
        <v>0</v>
      </c>
      <c r="AM196" s="16" t="n">
        <v>0</v>
      </c>
      <c r="AN196" s="16" t="n">
        <v>901.935535844723</v>
      </c>
      <c r="AO196" s="16" t="n">
        <v>41.8584641552768</v>
      </c>
      <c r="AP196" s="16" t="n">
        <v>251.941535844723</v>
      </c>
      <c r="AQ196" s="14" t="n">
        <v>41.8584641552768</v>
      </c>
      <c r="AR196" s="14" t="s">
        <v>372</v>
      </c>
      <c r="AS196" s="29"/>
      <c r="AT196" s="14" t="n">
        <v>130.358907368284</v>
      </c>
      <c r="AU196" s="17" t="n">
        <v>6.91886388167257</v>
      </c>
      <c r="AV196" s="17" t="n">
        <v>1.86422695009437</v>
      </c>
      <c r="AW196" s="16" t="n">
        <v>0</v>
      </c>
      <c r="AX196" s="14" t="s">
        <v>257</v>
      </c>
      <c r="AY196" s="14" t="s">
        <v>257</v>
      </c>
      <c r="AZ196" s="14" t="s">
        <v>373</v>
      </c>
      <c r="BA196" s="14" t="s">
        <v>259</v>
      </c>
      <c r="BB196" s="14" t="s">
        <v>487</v>
      </c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</row>
    <row r="197" customFormat="false" ht="15" hidden="false" customHeight="false" outlineLevel="0" collapsed="false">
      <c r="C197" s="14" t="s">
        <v>279</v>
      </c>
      <c r="D197" s="14" t="s">
        <v>280</v>
      </c>
      <c r="E197" s="14" t="s">
        <v>309</v>
      </c>
      <c r="F197" s="14" t="s">
        <v>253</v>
      </c>
      <c r="G197" s="29" t="n">
        <v>46419</v>
      </c>
      <c r="H197" s="29" t="n">
        <v>46446</v>
      </c>
      <c r="I197" s="14" t="s">
        <v>302</v>
      </c>
      <c r="J197" s="14" t="s">
        <v>255</v>
      </c>
      <c r="K197" s="14" t="n">
        <v>28</v>
      </c>
      <c r="L197" s="16" t="n">
        <v>38.4587069925379</v>
      </c>
      <c r="M197" s="30" t="n">
        <v>28.8693217195837</v>
      </c>
      <c r="N197" s="16" t="n">
        <v>3.9286421897728</v>
      </c>
      <c r="O197" s="16" t="n">
        <v>-8.48987268244684</v>
      </c>
      <c r="P197" s="16" t="n">
        <v>-0.440931163937214</v>
      </c>
      <c r="Q197" s="16" t="n">
        <v>0.000250145414212653</v>
      </c>
      <c r="R197" s="16" t="n">
        <v>-1.34605474473883</v>
      </c>
      <c r="S197" s="16" t="n">
        <v>0</v>
      </c>
      <c r="T197" s="16" t="n">
        <v>2.14190642651097</v>
      </c>
      <c r="U197" s="16" t="n">
        <v>25</v>
      </c>
      <c r="V197" s="16" t="n">
        <v>25</v>
      </c>
      <c r="W197" s="16" t="n">
        <v>587.375</v>
      </c>
      <c r="X197" s="16" t="n">
        <v>0</v>
      </c>
      <c r="Y197" s="16" t="n">
        <v>0</v>
      </c>
      <c r="Z197" s="16" t="n">
        <v>0</v>
      </c>
      <c r="AA197" s="16" t="n">
        <v>0</v>
      </c>
      <c r="AB197" s="16" t="n">
        <v>0</v>
      </c>
      <c r="AC197" s="16" t="n">
        <v>587.375</v>
      </c>
      <c r="AD197" s="16" t="n">
        <v>251.941535844723</v>
      </c>
      <c r="AE197" s="16" t="n">
        <v>5.14399752480528</v>
      </c>
      <c r="AF197" s="16" t="n">
        <v>0</v>
      </c>
      <c r="AG197" s="16" t="n">
        <v>257.085533369529</v>
      </c>
      <c r="AH197" s="16" t="n">
        <v>6.01248728464958</v>
      </c>
      <c r="AI197" s="16" t="n">
        <v>6.01248728464958</v>
      </c>
      <c r="AJ197" s="16" t="n">
        <v>0.66925</v>
      </c>
      <c r="AK197" s="16" t="n">
        <v>0.604166666666667</v>
      </c>
      <c r="AL197" s="16" t="n">
        <v>0</v>
      </c>
      <c r="AM197" s="16" t="n">
        <v>0</v>
      </c>
      <c r="AN197" s="16" t="n">
        <v>907.079533369529</v>
      </c>
      <c r="AO197" s="16" t="n">
        <v>36.7144666304715</v>
      </c>
      <c r="AP197" s="16" t="n">
        <v>257.085533369529</v>
      </c>
      <c r="AQ197" s="14" t="n">
        <v>36.7144666304715</v>
      </c>
      <c r="AR197" s="14" t="s">
        <v>372</v>
      </c>
      <c r="AS197" s="29"/>
      <c r="AT197" s="14" t="n">
        <v>130.358809149774</v>
      </c>
      <c r="AU197" s="17" t="n">
        <v>6.95832939320081</v>
      </c>
      <c r="AV197" s="17" t="n">
        <v>1.83331277606332</v>
      </c>
      <c r="AW197" s="16" t="n">
        <v>0</v>
      </c>
      <c r="AX197" s="14" t="s">
        <v>257</v>
      </c>
      <c r="AY197" s="14" t="s">
        <v>257</v>
      </c>
      <c r="AZ197" s="14" t="s">
        <v>373</v>
      </c>
      <c r="BA197" s="14" t="s">
        <v>259</v>
      </c>
      <c r="BB197" s="14" t="s">
        <v>488</v>
      </c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</row>
    <row r="198" customFormat="false" ht="15" hidden="false" customHeight="false" outlineLevel="0" collapsed="false">
      <c r="C198" s="14" t="s">
        <v>279</v>
      </c>
      <c r="D198" s="14" t="s">
        <v>280</v>
      </c>
      <c r="E198" s="14" t="s">
        <v>311</v>
      </c>
      <c r="F198" s="14" t="s">
        <v>253</v>
      </c>
      <c r="G198" s="29" t="n">
        <v>46447</v>
      </c>
      <c r="H198" s="29" t="n">
        <v>46477</v>
      </c>
      <c r="I198" s="14" t="s">
        <v>302</v>
      </c>
      <c r="J198" s="14" t="s">
        <v>255</v>
      </c>
      <c r="K198" s="14" t="n">
        <v>31</v>
      </c>
      <c r="L198" s="16" t="n">
        <v>96.1467674813447</v>
      </c>
      <c r="M198" s="30" t="n">
        <v>28.8693217195837</v>
      </c>
      <c r="N198" s="16" t="n">
        <v>9.821605474432</v>
      </c>
      <c r="O198" s="16" t="n">
        <v>-8.48987268244684</v>
      </c>
      <c r="P198" s="16" t="n">
        <v>-1.10232790984303</v>
      </c>
      <c r="Q198" s="16" t="n">
        <v>0.000625363535531634</v>
      </c>
      <c r="R198" s="16" t="n">
        <v>-3.36513686184707</v>
      </c>
      <c r="S198" s="16" t="n">
        <v>0</v>
      </c>
      <c r="T198" s="16" t="n">
        <v>5.35476606627743</v>
      </c>
      <c r="U198" s="16" t="n">
        <v>25</v>
      </c>
      <c r="V198" s="16" t="n">
        <v>25</v>
      </c>
      <c r="W198" s="16" t="n">
        <v>587.375</v>
      </c>
      <c r="X198" s="16" t="n">
        <v>0</v>
      </c>
      <c r="Y198" s="16" t="n">
        <v>0</v>
      </c>
      <c r="Z198" s="16" t="n">
        <v>0</v>
      </c>
      <c r="AA198" s="16" t="n">
        <v>0</v>
      </c>
      <c r="AB198" s="16" t="n">
        <v>0</v>
      </c>
      <c r="AC198" s="16" t="n">
        <v>587.375</v>
      </c>
      <c r="AD198" s="16" t="n">
        <v>257.085533369529</v>
      </c>
      <c r="AE198" s="16" t="n">
        <v>1.95649255168881</v>
      </c>
      <c r="AF198" s="16" t="n">
        <v>0</v>
      </c>
      <c r="AG198" s="16" t="n">
        <v>259.042025921217</v>
      </c>
      <c r="AH198" s="16" t="n">
        <v>6.03784195129957</v>
      </c>
      <c r="AI198" s="16" t="n">
        <v>6.03784195129957</v>
      </c>
      <c r="AJ198" s="16" t="n">
        <v>0.66925</v>
      </c>
      <c r="AK198" s="16" t="n">
        <v>0.604166666666667</v>
      </c>
      <c r="AL198" s="16" t="n">
        <v>0</v>
      </c>
      <c r="AM198" s="16" t="n">
        <v>0</v>
      </c>
      <c r="AN198" s="16" t="n">
        <v>909.036025921217</v>
      </c>
      <c r="AO198" s="16" t="n">
        <v>34.7579740787827</v>
      </c>
      <c r="AP198" s="16" t="n">
        <v>259.042025921217</v>
      </c>
      <c r="AQ198" s="14" t="n">
        <v>34.7579740787827</v>
      </c>
      <c r="AR198" s="14" t="s">
        <v>372</v>
      </c>
      <c r="AS198" s="29"/>
      <c r="AT198" s="14" t="n">
        <v>130.358563603499</v>
      </c>
      <c r="AU198" s="17" t="n">
        <v>6.97335104647333</v>
      </c>
      <c r="AV198" s="17" t="n">
        <v>1.80927472849051</v>
      </c>
      <c r="AW198" s="16" t="n">
        <v>0</v>
      </c>
      <c r="AX198" s="14" t="s">
        <v>257</v>
      </c>
      <c r="AY198" s="14" t="s">
        <v>257</v>
      </c>
      <c r="AZ198" s="14" t="s">
        <v>373</v>
      </c>
      <c r="BA198" s="14" t="s">
        <v>259</v>
      </c>
      <c r="BB198" s="14" t="s">
        <v>489</v>
      </c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</row>
    <row r="199" customFormat="false" ht="15" hidden="false" customHeight="false" outlineLevel="0" collapsed="false">
      <c r="C199" s="14" t="s">
        <v>279</v>
      </c>
      <c r="D199" s="14" t="s">
        <v>280</v>
      </c>
      <c r="E199" s="14" t="s">
        <v>313</v>
      </c>
      <c r="F199" s="14" t="s">
        <v>253</v>
      </c>
      <c r="G199" s="29" t="n">
        <v>46478</v>
      </c>
      <c r="H199" s="29" t="n">
        <v>46507</v>
      </c>
      <c r="I199" s="14" t="s">
        <v>302</v>
      </c>
      <c r="J199" s="14" t="s">
        <v>255</v>
      </c>
      <c r="K199" s="14" t="n">
        <v>30</v>
      </c>
      <c r="L199" s="16" t="n">
        <v>249.981595451496</v>
      </c>
      <c r="M199" s="30" t="n">
        <v>28.8693217195837</v>
      </c>
      <c r="N199" s="16" t="n">
        <v>25.5361742335232</v>
      </c>
      <c r="O199" s="16" t="n">
        <v>-8.48987268244684</v>
      </c>
      <c r="P199" s="16" t="n">
        <v>-2.86605256559189</v>
      </c>
      <c r="Q199" s="16" t="n">
        <v>0.00162594519238225</v>
      </c>
      <c r="R199" s="16" t="n">
        <v>-8.74935584080237</v>
      </c>
      <c r="S199" s="16" t="n">
        <v>0</v>
      </c>
      <c r="T199" s="16" t="n">
        <v>13.9223917723213</v>
      </c>
      <c r="U199" s="16" t="n">
        <v>25</v>
      </c>
      <c r="V199" s="16" t="n">
        <v>25</v>
      </c>
      <c r="W199" s="16" t="n">
        <v>587.375</v>
      </c>
      <c r="X199" s="16" t="n">
        <v>11.90625</v>
      </c>
      <c r="Y199" s="16" t="n">
        <v>11.90625</v>
      </c>
      <c r="Z199" s="16" t="n">
        <v>0</v>
      </c>
      <c r="AA199" s="16" t="n">
        <v>0</v>
      </c>
      <c r="AB199" s="16" t="n">
        <v>0</v>
      </c>
      <c r="AC199" s="16" t="n">
        <v>575.46875</v>
      </c>
      <c r="AD199" s="16" t="n">
        <v>259.042025921217</v>
      </c>
      <c r="AE199" s="16" t="n">
        <v>5.27843633650627</v>
      </c>
      <c r="AF199" s="16" t="n">
        <v>0</v>
      </c>
      <c r="AG199" s="16" t="n">
        <v>264.320462257724</v>
      </c>
      <c r="AH199" s="16" t="n">
        <v>6.02116144216091</v>
      </c>
      <c r="AI199" s="16" t="n">
        <v>6.02116144216091</v>
      </c>
      <c r="AJ199" s="16" t="n">
        <v>0.66925</v>
      </c>
      <c r="AK199" s="16" t="n">
        <v>0.604166666666667</v>
      </c>
      <c r="AL199" s="16" t="n">
        <v>0</v>
      </c>
      <c r="AM199" s="16" t="n">
        <v>0</v>
      </c>
      <c r="AN199" s="16" t="n">
        <v>902.408212257724</v>
      </c>
      <c r="AO199" s="16" t="n">
        <v>29.4795377422764</v>
      </c>
      <c r="AP199" s="16" t="n">
        <v>264.320462257724</v>
      </c>
      <c r="AQ199" s="14" t="n">
        <v>29.4795377422764</v>
      </c>
      <c r="AR199" s="14" t="s">
        <v>372</v>
      </c>
      <c r="AS199" s="29"/>
      <c r="AT199" s="14" t="n">
        <v>130.357925183182</v>
      </c>
      <c r="AU199" s="17" t="n">
        <v>6.92254200110685</v>
      </c>
      <c r="AV199" s="17" t="n">
        <v>1.80080804764665</v>
      </c>
      <c r="AW199" s="16" t="n">
        <v>0</v>
      </c>
      <c r="AX199" s="14" t="s">
        <v>257</v>
      </c>
      <c r="AY199" s="14" t="s">
        <v>257</v>
      </c>
      <c r="AZ199" s="14" t="s">
        <v>373</v>
      </c>
      <c r="BA199" s="14" t="s">
        <v>259</v>
      </c>
      <c r="BB199" s="14" t="s">
        <v>490</v>
      </c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</row>
    <row r="200" customFormat="false" ht="15" hidden="false" customHeight="false" outlineLevel="0" collapsed="false">
      <c r="C200" s="14" t="s">
        <v>279</v>
      </c>
      <c r="D200" s="14" t="s">
        <v>280</v>
      </c>
      <c r="E200" s="14" t="s">
        <v>315</v>
      </c>
      <c r="F200" s="14" t="s">
        <v>253</v>
      </c>
      <c r="G200" s="29" t="n">
        <v>46508</v>
      </c>
      <c r="H200" s="29" t="n">
        <v>46538</v>
      </c>
      <c r="I200" s="14" t="s">
        <v>302</v>
      </c>
      <c r="J200" s="14" t="s">
        <v>271</v>
      </c>
      <c r="K200" s="14" t="n">
        <v>31</v>
      </c>
      <c r="L200" s="16" t="n">
        <v>42.0961001160614</v>
      </c>
      <c r="M200" s="30" t="n">
        <v>27.6901735836919</v>
      </c>
      <c r="N200" s="16" t="n">
        <v>3.80383458235193</v>
      </c>
      <c r="O200" s="16" t="n">
        <v>-9.29283791267971</v>
      </c>
      <c r="P200" s="16" t="n">
        <v>-0.35854022865465</v>
      </c>
      <c r="Q200" s="16" t="n">
        <v>0.000276025513253023</v>
      </c>
      <c r="R200" s="16" t="n">
        <v>-1.47336350406215</v>
      </c>
      <c r="S200" s="16" t="n">
        <v>0</v>
      </c>
      <c r="T200" s="16" t="n">
        <v>1.97220687514838</v>
      </c>
      <c r="U200" s="16" t="n">
        <v>25</v>
      </c>
      <c r="V200" s="16" t="n">
        <v>25</v>
      </c>
      <c r="W200" s="16" t="n">
        <v>575.46875</v>
      </c>
      <c r="X200" s="16" t="n">
        <v>0</v>
      </c>
      <c r="Y200" s="16" t="n">
        <v>0</v>
      </c>
      <c r="Z200" s="16" t="n">
        <v>0</v>
      </c>
      <c r="AA200" s="16" t="n">
        <v>0</v>
      </c>
      <c r="AB200" s="16" t="n">
        <v>0</v>
      </c>
      <c r="AC200" s="16" t="n">
        <v>575.46875</v>
      </c>
      <c r="AD200" s="16" t="n">
        <v>264.320462257724</v>
      </c>
      <c r="AE200" s="16" t="n">
        <v>5.31769301118322</v>
      </c>
      <c r="AF200" s="16" t="n">
        <v>0</v>
      </c>
      <c r="AG200" s="16" t="n">
        <v>269.638155268907</v>
      </c>
      <c r="AH200" s="16" t="n">
        <v>6.01648321966493</v>
      </c>
      <c r="AI200" s="16" t="n">
        <v>6.01648321966493</v>
      </c>
      <c r="AJ200" s="16" t="n">
        <v>0.66925</v>
      </c>
      <c r="AK200" s="16" t="n">
        <v>0.604166666666667</v>
      </c>
      <c r="AL200" s="16" t="n">
        <v>0</v>
      </c>
      <c r="AM200" s="16" t="n">
        <v>0</v>
      </c>
      <c r="AN200" s="16" t="n">
        <v>907.725905268907</v>
      </c>
      <c r="AO200" s="16" t="n">
        <v>24.1618447310932</v>
      </c>
      <c r="AP200" s="16" t="n">
        <v>269.638155268907</v>
      </c>
      <c r="AQ200" s="14" t="n">
        <v>24.1618447310932</v>
      </c>
      <c r="AR200" s="14" t="s">
        <v>372</v>
      </c>
      <c r="AS200" s="29"/>
      <c r="AT200" s="14" t="n">
        <v>130.35783008494</v>
      </c>
      <c r="AU200" s="17" t="n">
        <v>6.96334009761776</v>
      </c>
      <c r="AV200" s="17" t="n">
        <v>1.80318430304129</v>
      </c>
      <c r="AW200" s="16" t="n">
        <v>0</v>
      </c>
      <c r="AX200" s="14" t="s">
        <v>257</v>
      </c>
      <c r="AY200" s="14" t="s">
        <v>257</v>
      </c>
      <c r="AZ200" s="14" t="s">
        <v>373</v>
      </c>
      <c r="BA200" s="14" t="s">
        <v>259</v>
      </c>
      <c r="BB200" s="14" t="s">
        <v>491</v>
      </c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</row>
    <row r="201" customFormat="false" ht="15" hidden="false" customHeight="false" outlineLevel="0" collapsed="false">
      <c r="C201" s="14" t="s">
        <v>279</v>
      </c>
      <c r="D201" s="14" t="s">
        <v>280</v>
      </c>
      <c r="E201" s="14" t="s">
        <v>317</v>
      </c>
      <c r="F201" s="14" t="s">
        <v>253</v>
      </c>
      <c r="G201" s="29" t="n">
        <v>46539</v>
      </c>
      <c r="H201" s="29" t="n">
        <v>46568</v>
      </c>
      <c r="I201" s="14" t="s">
        <v>302</v>
      </c>
      <c r="J201" s="14" t="s">
        <v>271</v>
      </c>
      <c r="K201" s="14" t="n">
        <v>30</v>
      </c>
      <c r="L201" s="16" t="n">
        <v>105.240250290153</v>
      </c>
      <c r="M201" s="30" t="n">
        <v>27.6901735836919</v>
      </c>
      <c r="N201" s="16" t="n">
        <v>9.50958645587982</v>
      </c>
      <c r="O201" s="16" t="n">
        <v>-9.29283791267971</v>
      </c>
      <c r="P201" s="16" t="n">
        <v>-0.896350571636625</v>
      </c>
      <c r="Q201" s="16" t="n">
        <v>0.000690063783132557</v>
      </c>
      <c r="R201" s="16" t="n">
        <v>-3.68340876015537</v>
      </c>
      <c r="S201" s="16" t="n">
        <v>0</v>
      </c>
      <c r="T201" s="16" t="n">
        <v>4.93051718787096</v>
      </c>
      <c r="U201" s="16" t="n">
        <v>25</v>
      </c>
      <c r="V201" s="16" t="n">
        <v>25</v>
      </c>
      <c r="W201" s="16" t="n">
        <v>575.46875</v>
      </c>
      <c r="X201" s="16" t="n">
        <v>0</v>
      </c>
      <c r="Y201" s="16" t="n">
        <v>0</v>
      </c>
      <c r="Z201" s="16" t="n">
        <v>0</v>
      </c>
      <c r="AA201" s="16" t="n">
        <v>0</v>
      </c>
      <c r="AB201" s="16" t="n">
        <v>0</v>
      </c>
      <c r="AC201" s="16" t="n">
        <v>575.46875</v>
      </c>
      <c r="AD201" s="16" t="n">
        <v>269.638155268907</v>
      </c>
      <c r="AE201" s="16" t="n">
        <v>2.38689449635384</v>
      </c>
      <c r="AF201" s="16" t="n">
        <v>0</v>
      </c>
      <c r="AG201" s="16" t="n">
        <v>272.025049765261</v>
      </c>
      <c r="AH201" s="16" t="n">
        <v>6.04399501755813</v>
      </c>
      <c r="AI201" s="16" t="n">
        <v>6.04399501755813</v>
      </c>
      <c r="AJ201" s="16" t="n">
        <v>0.66925</v>
      </c>
      <c r="AK201" s="16" t="n">
        <v>0.604166666666667</v>
      </c>
      <c r="AL201" s="16" t="n">
        <v>0</v>
      </c>
      <c r="AM201" s="16" t="n">
        <v>0</v>
      </c>
      <c r="AN201" s="16" t="n">
        <v>910.112799765261</v>
      </c>
      <c r="AO201" s="16" t="n">
        <v>21.7749502347394</v>
      </c>
      <c r="AP201" s="16" t="n">
        <v>272.025049765261</v>
      </c>
      <c r="AQ201" s="14" t="n">
        <v>21.7749502347394</v>
      </c>
      <c r="AR201" s="14" t="s">
        <v>372</v>
      </c>
      <c r="AS201" s="29"/>
      <c r="AT201" s="14" t="n">
        <v>130.357592339335</v>
      </c>
      <c r="AU201" s="17" t="n">
        <v>6.98166315772492</v>
      </c>
      <c r="AV201" s="17" t="n">
        <v>1.80516299130653</v>
      </c>
      <c r="AW201" s="16" t="n">
        <v>0</v>
      </c>
      <c r="AX201" s="14" t="s">
        <v>257</v>
      </c>
      <c r="AY201" s="14" t="s">
        <v>257</v>
      </c>
      <c r="AZ201" s="14" t="s">
        <v>373</v>
      </c>
      <c r="BA201" s="14" t="s">
        <v>259</v>
      </c>
      <c r="BB201" s="14" t="s">
        <v>492</v>
      </c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</row>
    <row r="202" customFormat="false" ht="15" hidden="false" customHeight="false" outlineLevel="0" collapsed="false">
      <c r="C202" s="14" t="s">
        <v>279</v>
      </c>
      <c r="D202" s="14" t="s">
        <v>280</v>
      </c>
      <c r="E202" s="14" t="s">
        <v>319</v>
      </c>
      <c r="F202" s="14" t="s">
        <v>253</v>
      </c>
      <c r="G202" s="29" t="n">
        <v>46569</v>
      </c>
      <c r="H202" s="29" t="n">
        <v>46599</v>
      </c>
      <c r="I202" s="14" t="s">
        <v>302</v>
      </c>
      <c r="J202" s="14" t="s">
        <v>271</v>
      </c>
      <c r="K202" s="14" t="n">
        <v>31</v>
      </c>
      <c r="L202" s="16" t="n">
        <v>273.624650754399</v>
      </c>
      <c r="M202" s="30" t="n">
        <v>27.6901735836919</v>
      </c>
      <c r="N202" s="16" t="n">
        <v>24.7249247852875</v>
      </c>
      <c r="O202" s="16" t="n">
        <v>-9.29283791267971</v>
      </c>
      <c r="P202" s="16" t="n">
        <v>-2.33051148625523</v>
      </c>
      <c r="Q202" s="16" t="n">
        <v>0.00179416583614465</v>
      </c>
      <c r="R202" s="16" t="n">
        <v>-9.57686277640396</v>
      </c>
      <c r="S202" s="16" t="n">
        <v>0</v>
      </c>
      <c r="T202" s="16" t="n">
        <v>12.8193446884645</v>
      </c>
      <c r="U202" s="16" t="n">
        <v>25</v>
      </c>
      <c r="V202" s="16" t="n">
        <v>25</v>
      </c>
      <c r="W202" s="16" t="n">
        <v>575.46875</v>
      </c>
      <c r="X202" s="16" t="n">
        <v>11.90625</v>
      </c>
      <c r="Y202" s="16" t="n">
        <v>11.90625</v>
      </c>
      <c r="Z202" s="16" t="n">
        <v>0</v>
      </c>
      <c r="AA202" s="16" t="n">
        <v>0</v>
      </c>
      <c r="AB202" s="16" t="n">
        <v>0</v>
      </c>
      <c r="AC202" s="16" t="n">
        <v>563.5625</v>
      </c>
      <c r="AD202" s="16" t="n">
        <v>272.025049765261</v>
      </c>
      <c r="AE202" s="16" t="n">
        <v>6.39315385069259</v>
      </c>
      <c r="AF202" s="16" t="n">
        <v>0</v>
      </c>
      <c r="AG202" s="16" t="n">
        <v>278.418203615953</v>
      </c>
      <c r="AH202" s="16" t="n">
        <v>6.03283187249041</v>
      </c>
      <c r="AI202" s="16" t="n">
        <v>6.03283187249041</v>
      </c>
      <c r="AJ202" s="16" t="n">
        <v>0.66925</v>
      </c>
      <c r="AK202" s="16" t="n">
        <v>0.604166666666667</v>
      </c>
      <c r="AL202" s="16" t="n">
        <v>0</v>
      </c>
      <c r="AM202" s="16" t="n">
        <v>0</v>
      </c>
      <c r="AN202" s="16" t="n">
        <v>904.599703615953</v>
      </c>
      <c r="AO202" s="16" t="n">
        <v>15.3817963840468</v>
      </c>
      <c r="AP202" s="16" t="n">
        <v>278.418203615953</v>
      </c>
      <c r="AQ202" s="14" t="n">
        <v>15.3817963840468</v>
      </c>
      <c r="AR202" s="14" t="s">
        <v>372</v>
      </c>
      <c r="AS202" s="29"/>
      <c r="AT202" s="14" t="n">
        <v>130.356974200762</v>
      </c>
      <c r="AU202" s="17" t="n">
        <v>6.93940396486024</v>
      </c>
      <c r="AV202" s="17" t="n">
        <v>1.80606862431496</v>
      </c>
      <c r="AW202" s="16" t="n">
        <v>0</v>
      </c>
      <c r="AX202" s="14" t="s">
        <v>257</v>
      </c>
      <c r="AY202" s="14" t="s">
        <v>257</v>
      </c>
      <c r="AZ202" s="14" t="s">
        <v>373</v>
      </c>
      <c r="BA202" s="14" t="s">
        <v>259</v>
      </c>
      <c r="BB202" s="14" t="s">
        <v>493</v>
      </c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</row>
    <row r="203" customFormat="false" ht="15" hidden="false" customHeight="false" outlineLevel="0" collapsed="false">
      <c r="C203" s="14" t="s">
        <v>279</v>
      </c>
      <c r="D203" s="14" t="s">
        <v>280</v>
      </c>
      <c r="E203" s="14" t="s">
        <v>321</v>
      </c>
      <c r="F203" s="14" t="s">
        <v>253</v>
      </c>
      <c r="G203" s="29" t="n">
        <v>46600</v>
      </c>
      <c r="H203" s="29" t="n">
        <v>46630</v>
      </c>
      <c r="I203" s="14" t="s">
        <v>302</v>
      </c>
      <c r="J203" s="14" t="s">
        <v>288</v>
      </c>
      <c r="K203" s="14" t="n">
        <v>31</v>
      </c>
      <c r="L203" s="16" t="n">
        <v>41.6348281805231</v>
      </c>
      <c r="M203" s="30" t="n">
        <v>27.9159174302794</v>
      </c>
      <c r="N203" s="16" t="n">
        <v>3.85614177349056</v>
      </c>
      <c r="O203" s="16" t="n">
        <v>-9.19101077622747</v>
      </c>
      <c r="P203" s="16" t="n">
        <v>-0.378108506388139</v>
      </c>
      <c r="Q203" s="16" t="n">
        <v>0.00027258029028027</v>
      </c>
      <c r="R203" s="16" t="n">
        <v>-1.45721898631831</v>
      </c>
      <c r="S203" s="16" t="n">
        <v>0</v>
      </c>
      <c r="T203" s="16" t="n">
        <v>2.0210868610744</v>
      </c>
      <c r="U203" s="16" t="n">
        <v>25</v>
      </c>
      <c r="V203" s="16" t="n">
        <v>25</v>
      </c>
      <c r="W203" s="16" t="n">
        <v>563.5625</v>
      </c>
      <c r="X203" s="16" t="n">
        <v>0</v>
      </c>
      <c r="Y203" s="16" t="n">
        <v>0</v>
      </c>
      <c r="Z203" s="16" t="n">
        <v>0</v>
      </c>
      <c r="AA203" s="16" t="n">
        <v>0</v>
      </c>
      <c r="AB203" s="16" t="n">
        <v>0</v>
      </c>
      <c r="AC203" s="16" t="n">
        <v>563.5625</v>
      </c>
      <c r="AD203" s="16" t="n">
        <v>278.418203615953</v>
      </c>
      <c r="AE203" s="16" t="n">
        <v>5.28434484529823</v>
      </c>
      <c r="AF203" s="16" t="n">
        <v>0</v>
      </c>
      <c r="AG203" s="16" t="n">
        <v>283.702548461251</v>
      </c>
      <c r="AH203" s="16" t="n">
        <v>6.03201503970596</v>
      </c>
      <c r="AI203" s="16" t="n">
        <v>6.03201503970596</v>
      </c>
      <c r="AJ203" s="16" t="n">
        <v>0.66925</v>
      </c>
      <c r="AK203" s="16" t="n">
        <v>0.604166666666667</v>
      </c>
      <c r="AL203" s="16" t="n">
        <v>0</v>
      </c>
      <c r="AM203" s="16" t="n">
        <v>0</v>
      </c>
      <c r="AN203" s="16" t="n">
        <v>909.884048461252</v>
      </c>
      <c r="AO203" s="16" t="n">
        <v>10.0974515387485</v>
      </c>
      <c r="AP203" s="16" t="n">
        <v>283.702548461251</v>
      </c>
      <c r="AQ203" s="14" t="n">
        <v>10.0974515387485</v>
      </c>
      <c r="AR203" s="14" t="s">
        <v>372</v>
      </c>
      <c r="AS203" s="29"/>
      <c r="AT203" s="14" t="n">
        <v>130.356877794808</v>
      </c>
      <c r="AU203" s="17" t="n">
        <v>6.97994661926073</v>
      </c>
      <c r="AV203" s="17" t="n">
        <v>1.80608635708247</v>
      </c>
      <c r="AW203" s="16" t="n">
        <v>0</v>
      </c>
      <c r="AX203" s="14" t="s">
        <v>257</v>
      </c>
      <c r="AY203" s="14" t="s">
        <v>257</v>
      </c>
      <c r="AZ203" s="14" t="s">
        <v>373</v>
      </c>
      <c r="BA203" s="14" t="s">
        <v>259</v>
      </c>
      <c r="BB203" s="14" t="s">
        <v>494</v>
      </c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</row>
    <row r="204" customFormat="false" ht="15" hidden="false" customHeight="false" outlineLevel="0" collapsed="false">
      <c r="C204" s="14" t="s">
        <v>279</v>
      </c>
      <c r="D204" s="14" t="s">
        <v>280</v>
      </c>
      <c r="E204" s="14" t="s">
        <v>323</v>
      </c>
      <c r="F204" s="14" t="s">
        <v>253</v>
      </c>
      <c r="G204" s="29" t="n">
        <v>46631</v>
      </c>
      <c r="H204" s="29" t="n">
        <v>46660</v>
      </c>
      <c r="I204" s="14" t="s">
        <v>302</v>
      </c>
      <c r="J204" s="14" t="s">
        <v>288</v>
      </c>
      <c r="K204" s="14" t="n">
        <v>30</v>
      </c>
      <c r="L204" s="16" t="n">
        <v>104.087070451308</v>
      </c>
      <c r="M204" s="30" t="n">
        <v>27.9159174302794</v>
      </c>
      <c r="N204" s="16" t="n">
        <v>9.6403544337264</v>
      </c>
      <c r="O204" s="16" t="n">
        <v>-9.19101077622747</v>
      </c>
      <c r="P204" s="16" t="n">
        <v>-0.945271265970348</v>
      </c>
      <c r="Q204" s="16" t="n">
        <v>0.000681450725700674</v>
      </c>
      <c r="R204" s="16" t="n">
        <v>-3.64304746579577</v>
      </c>
      <c r="S204" s="16" t="n">
        <v>0</v>
      </c>
      <c r="T204" s="16" t="n">
        <v>5.05271715268599</v>
      </c>
      <c r="U204" s="16" t="n">
        <v>25</v>
      </c>
      <c r="V204" s="16" t="n">
        <v>25</v>
      </c>
      <c r="W204" s="16" t="n">
        <v>563.5625</v>
      </c>
      <c r="X204" s="16" t="n">
        <v>0</v>
      </c>
      <c r="Y204" s="16" t="n">
        <v>0</v>
      </c>
      <c r="Z204" s="16" t="n">
        <v>0</v>
      </c>
      <c r="AA204" s="16" t="n">
        <v>0</v>
      </c>
      <c r="AB204" s="16" t="n">
        <v>0</v>
      </c>
      <c r="AC204" s="16" t="n">
        <v>563.5625</v>
      </c>
      <c r="AD204" s="16" t="n">
        <v>283.702548461251</v>
      </c>
      <c r="AE204" s="16" t="n">
        <v>2.27972458494554</v>
      </c>
      <c r="AF204" s="16" t="n">
        <v>0</v>
      </c>
      <c r="AG204" s="16" t="n">
        <v>285.982273046197</v>
      </c>
      <c r="AH204" s="16" t="n">
        <v>6.05902507096486</v>
      </c>
      <c r="AI204" s="16" t="n">
        <v>6.05902507096486</v>
      </c>
      <c r="AJ204" s="16" t="n">
        <v>0.66925</v>
      </c>
      <c r="AK204" s="16" t="n">
        <v>0.604166666666667</v>
      </c>
      <c r="AL204" s="16" t="n">
        <v>0</v>
      </c>
      <c r="AM204" s="16" t="n">
        <v>0</v>
      </c>
      <c r="AN204" s="16" t="n">
        <v>912.163773046197</v>
      </c>
      <c r="AO204" s="16" t="n">
        <v>7.81772695380299</v>
      </c>
      <c r="AP204" s="16" t="n">
        <v>285.982273046197</v>
      </c>
      <c r="AQ204" s="14" t="n">
        <v>7.81772695380299</v>
      </c>
      <c r="AR204" s="14" t="s">
        <v>372</v>
      </c>
      <c r="AS204" s="29"/>
      <c r="AT204" s="14" t="n">
        <v>130.356636779921</v>
      </c>
      <c r="AU204" s="17" t="n">
        <v>6.99744789048359</v>
      </c>
      <c r="AV204" s="17" t="n">
        <v>1.805689431544</v>
      </c>
      <c r="AW204" s="16" t="n">
        <v>0</v>
      </c>
      <c r="AX204" s="14" t="s">
        <v>257</v>
      </c>
      <c r="AY204" s="14" t="s">
        <v>257</v>
      </c>
      <c r="AZ204" s="14" t="s">
        <v>373</v>
      </c>
      <c r="BA204" s="14" t="s">
        <v>259</v>
      </c>
      <c r="BB204" s="14" t="s">
        <v>495</v>
      </c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</row>
    <row r="205" customFormat="false" ht="15" hidden="false" customHeight="false" outlineLevel="0" collapsed="false">
      <c r="C205" s="14" t="s">
        <v>279</v>
      </c>
      <c r="D205" s="14" t="s">
        <v>280</v>
      </c>
      <c r="E205" s="14" t="s">
        <v>325</v>
      </c>
      <c r="F205" s="14" t="s">
        <v>253</v>
      </c>
      <c r="G205" s="29" t="n">
        <v>46661</v>
      </c>
      <c r="H205" s="29" t="n">
        <v>46691</v>
      </c>
      <c r="I205" s="14" t="s">
        <v>302</v>
      </c>
      <c r="J205" s="14" t="s">
        <v>288</v>
      </c>
      <c r="K205" s="14" t="n">
        <v>31</v>
      </c>
      <c r="L205" s="16" t="n">
        <v>270.6263831734</v>
      </c>
      <c r="M205" s="30" t="n">
        <v>27.9159174302794</v>
      </c>
      <c r="N205" s="16" t="n">
        <v>25.0649215276886</v>
      </c>
      <c r="O205" s="16" t="n">
        <v>-9.19101077622747</v>
      </c>
      <c r="P205" s="16" t="n">
        <v>-2.4577052915229</v>
      </c>
      <c r="Q205" s="16" t="n">
        <v>0.00177177188682175</v>
      </c>
      <c r="R205" s="16" t="n">
        <v>-9.471923411069</v>
      </c>
      <c r="S205" s="16" t="n">
        <v>0</v>
      </c>
      <c r="T205" s="16" t="n">
        <v>13.1370645969836</v>
      </c>
      <c r="U205" s="16" t="n">
        <v>25</v>
      </c>
      <c r="V205" s="16" t="n">
        <v>25</v>
      </c>
      <c r="W205" s="16" t="n">
        <v>563.5625</v>
      </c>
      <c r="X205" s="16" t="n">
        <v>11.90625</v>
      </c>
      <c r="Y205" s="16" t="n">
        <v>11.90625</v>
      </c>
      <c r="Z205" s="16" t="n">
        <v>0</v>
      </c>
      <c r="AA205" s="16" t="n">
        <v>0</v>
      </c>
      <c r="AB205" s="16" t="n">
        <v>0</v>
      </c>
      <c r="AC205" s="16" t="n">
        <v>551.65625</v>
      </c>
      <c r="AD205" s="16" t="n">
        <v>285.982273046197</v>
      </c>
      <c r="AE205" s="16" t="n">
        <v>6.08899520987142</v>
      </c>
      <c r="AF205" s="16" t="n">
        <v>0</v>
      </c>
      <c r="AG205" s="16" t="n">
        <v>292.071268256068</v>
      </c>
      <c r="AH205" s="16" t="n">
        <v>6.04639314018832</v>
      </c>
      <c r="AI205" s="16" t="n">
        <v>6.04639314018832</v>
      </c>
      <c r="AJ205" s="16" t="n">
        <v>0.66925</v>
      </c>
      <c r="AK205" s="16" t="n">
        <v>0.604166666666667</v>
      </c>
      <c r="AL205" s="16" t="n">
        <v>0</v>
      </c>
      <c r="AM205" s="16" t="n">
        <v>0</v>
      </c>
      <c r="AN205" s="16" t="n">
        <v>906.346518256068</v>
      </c>
      <c r="AO205" s="16" t="n">
        <v>1.72873174393158</v>
      </c>
      <c r="AP205" s="16" t="n">
        <v>292.071268256068</v>
      </c>
      <c r="AQ205" s="14" t="n">
        <v>1.72873174393158</v>
      </c>
      <c r="AR205" s="14" t="s">
        <v>372</v>
      </c>
      <c r="AS205" s="29"/>
      <c r="AT205" s="14" t="n">
        <v>130.356010141217</v>
      </c>
      <c r="AU205" s="17" t="n">
        <v>6.95285562418031</v>
      </c>
      <c r="AV205" s="17" t="n">
        <v>1.80421689108096</v>
      </c>
      <c r="AW205" s="16" t="n">
        <v>0</v>
      </c>
      <c r="AX205" s="14" t="s">
        <v>257</v>
      </c>
      <c r="AY205" s="14" t="s">
        <v>257</v>
      </c>
      <c r="AZ205" s="14" t="s">
        <v>373</v>
      </c>
      <c r="BA205" s="14" t="s">
        <v>259</v>
      </c>
      <c r="BB205" s="14" t="s">
        <v>496</v>
      </c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</row>
    <row r="206" customFormat="false" ht="15" hidden="false" customHeight="false" outlineLevel="0" collapsed="false">
      <c r="C206" s="14" t="s">
        <v>279</v>
      </c>
      <c r="D206" s="14" t="s">
        <v>280</v>
      </c>
      <c r="E206" s="14" t="s">
        <v>327</v>
      </c>
      <c r="F206" s="14" t="s">
        <v>253</v>
      </c>
      <c r="G206" s="29" t="n">
        <v>46692</v>
      </c>
      <c r="H206" s="29" t="n">
        <v>46721</v>
      </c>
      <c r="I206" s="14" t="s">
        <v>328</v>
      </c>
      <c r="J206" s="14" t="s">
        <v>303</v>
      </c>
      <c r="K206" s="14" t="n">
        <v>30</v>
      </c>
      <c r="L206" s="16" t="n">
        <v>34.0011897832565</v>
      </c>
      <c r="M206" s="30" t="n">
        <v>22.9096754759419</v>
      </c>
      <c r="N206" s="16" t="n">
        <v>1.44694629394473</v>
      </c>
      <c r="O206" s="16" t="n">
        <v>-7.50586264815323</v>
      </c>
      <c r="P206" s="16" t="n">
        <v>0</v>
      </c>
      <c r="Q206" s="16" t="n">
        <v>0.000230221586671479</v>
      </c>
      <c r="R206" s="16" t="n">
        <v>-1.19004164241398</v>
      </c>
      <c r="S206" s="16" t="n">
        <v>0</v>
      </c>
      <c r="T206" s="16" t="n">
        <v>0.257134873117422</v>
      </c>
      <c r="U206" s="16" t="n">
        <v>25</v>
      </c>
      <c r="V206" s="16" t="n">
        <v>19.7807395779013</v>
      </c>
      <c r="W206" s="16" t="n">
        <v>551.65625</v>
      </c>
      <c r="X206" s="16" t="n">
        <v>0</v>
      </c>
      <c r="Y206" s="16" t="n">
        <v>0</v>
      </c>
      <c r="Z206" s="16" t="n">
        <v>0</v>
      </c>
      <c r="AA206" s="16" t="n">
        <v>0</v>
      </c>
      <c r="AB206" s="16" t="n">
        <v>0</v>
      </c>
      <c r="AC206" s="16" t="n">
        <v>551.65625</v>
      </c>
      <c r="AD206" s="16" t="n">
        <v>292.071268256068</v>
      </c>
      <c r="AE206" s="16" t="n">
        <v>1.72873174393158</v>
      </c>
      <c r="AF206" s="16" t="n">
        <v>0</v>
      </c>
      <c r="AG206" s="16" t="n">
        <v>293.8</v>
      </c>
      <c r="AH206" s="16" t="n">
        <v>6.03179370581438</v>
      </c>
      <c r="AI206" s="16" t="n">
        <v>6.03179370581438</v>
      </c>
      <c r="AJ206" s="16" t="n">
        <v>0.569166666666667</v>
      </c>
      <c r="AK206" s="16" t="n">
        <v>0.604166666666667</v>
      </c>
      <c r="AL206" s="16" t="n">
        <v>0</v>
      </c>
      <c r="AM206" s="16" t="n">
        <v>0</v>
      </c>
      <c r="AN206" s="16" t="n">
        <v>908.07525</v>
      </c>
      <c r="AO206" s="16" t="n">
        <v>0</v>
      </c>
      <c r="AP206" s="16" t="n">
        <v>293.8</v>
      </c>
      <c r="AQ206" s="14" t="n">
        <v>0</v>
      </c>
      <c r="AR206" s="14" t="s">
        <v>372</v>
      </c>
      <c r="AS206" s="29"/>
      <c r="AT206" s="14" t="n">
        <v>130.355973966656</v>
      </c>
      <c r="AU206" s="17" t="n">
        <v>6.96611917634309</v>
      </c>
      <c r="AV206" s="17" t="n">
        <v>1.80235049104026</v>
      </c>
      <c r="AW206" s="16" t="n">
        <v>0</v>
      </c>
      <c r="AX206" s="14" t="s">
        <v>257</v>
      </c>
      <c r="AY206" s="14" t="s">
        <v>257</v>
      </c>
      <c r="AZ206" s="14" t="s">
        <v>455</v>
      </c>
      <c r="BA206" s="14" t="s">
        <v>259</v>
      </c>
      <c r="BB206" s="14" t="s">
        <v>497</v>
      </c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</row>
    <row r="207" customFormat="false" ht="15" hidden="false" customHeight="false" outlineLevel="0" collapsed="false">
      <c r="C207" s="14" t="s">
        <v>279</v>
      </c>
      <c r="D207" s="14" t="s">
        <v>280</v>
      </c>
      <c r="E207" s="14" t="s">
        <v>330</v>
      </c>
      <c r="F207" s="14" t="s">
        <v>253</v>
      </c>
      <c r="G207" s="29" t="n">
        <v>46722</v>
      </c>
      <c r="H207" s="29" t="n">
        <v>46752</v>
      </c>
      <c r="I207" s="14" t="s">
        <v>328</v>
      </c>
      <c r="J207" s="14" t="s">
        <v>303</v>
      </c>
      <c r="K207" s="14" t="n">
        <v>31</v>
      </c>
      <c r="L207" s="16" t="n">
        <v>85.0029744581412</v>
      </c>
      <c r="M207" s="30" t="n">
        <v>22.9096754759419</v>
      </c>
      <c r="N207" s="16" t="n">
        <v>3.61736573486182</v>
      </c>
      <c r="O207" s="16" t="n">
        <v>-7.50586264815323</v>
      </c>
      <c r="P207" s="16" t="n">
        <v>0</v>
      </c>
      <c r="Q207" s="16" t="n">
        <v>0.000575553966678696</v>
      </c>
      <c r="R207" s="16" t="n">
        <v>-2.97510410603494</v>
      </c>
      <c r="S207" s="16" t="n">
        <v>0</v>
      </c>
      <c r="T207" s="16" t="n">
        <v>0.642837182793555</v>
      </c>
      <c r="U207" s="16" t="n">
        <v>19.7807395779013</v>
      </c>
      <c r="V207" s="16" t="n">
        <v>13.2122767086115</v>
      </c>
      <c r="W207" s="16" t="n">
        <v>551.65625</v>
      </c>
      <c r="X207" s="16" t="n">
        <v>0</v>
      </c>
      <c r="Y207" s="16" t="n">
        <v>0</v>
      </c>
      <c r="Z207" s="16" t="n">
        <v>0</v>
      </c>
      <c r="AA207" s="16" t="n">
        <v>0</v>
      </c>
      <c r="AB207" s="16" t="n">
        <v>0</v>
      </c>
      <c r="AC207" s="16" t="n">
        <v>551.65625</v>
      </c>
      <c r="AD207" s="16" t="n">
        <v>293.8</v>
      </c>
      <c r="AE207" s="16" t="n">
        <v>0</v>
      </c>
      <c r="AF207" s="16" t="n">
        <v>0</v>
      </c>
      <c r="AG207" s="16" t="n">
        <v>293.8</v>
      </c>
      <c r="AH207" s="16" t="n">
        <v>6.03796671875</v>
      </c>
      <c r="AI207" s="16" t="n">
        <v>6.03796671875</v>
      </c>
      <c r="AJ207" s="16" t="n">
        <v>0.569166666666667</v>
      </c>
      <c r="AK207" s="16" t="n">
        <v>0.604166666666667</v>
      </c>
      <c r="AL207" s="16" t="n">
        <v>0</v>
      </c>
      <c r="AM207" s="16" t="n">
        <v>0</v>
      </c>
      <c r="AN207" s="16" t="n">
        <v>908.07525</v>
      </c>
      <c r="AO207" s="16" t="n">
        <v>0</v>
      </c>
      <c r="AP207" s="16" t="n">
        <v>293.8</v>
      </c>
      <c r="AQ207" s="14" t="n">
        <v>0</v>
      </c>
      <c r="AR207" s="14" t="s">
        <v>372</v>
      </c>
      <c r="AS207" s="29"/>
      <c r="AT207" s="14" t="n">
        <v>130.355883530251</v>
      </c>
      <c r="AU207" s="17" t="n">
        <v>6.96612400919569</v>
      </c>
      <c r="AV207" s="17" t="n">
        <v>1.80119733428809</v>
      </c>
      <c r="AW207" s="16" t="n">
        <v>0</v>
      </c>
      <c r="AX207" s="14" t="s">
        <v>257</v>
      </c>
      <c r="AY207" s="14" t="s">
        <v>257</v>
      </c>
      <c r="AZ207" s="14" t="s">
        <v>455</v>
      </c>
      <c r="BA207" s="14" t="s">
        <v>259</v>
      </c>
      <c r="BB207" s="14" t="s">
        <v>498</v>
      </c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</row>
    <row r="208" customFormat="false" ht="15" hidden="false" customHeight="false" outlineLevel="0" collapsed="false">
      <c r="C208" s="14" t="s">
        <v>279</v>
      </c>
      <c r="D208" s="14" t="s">
        <v>280</v>
      </c>
      <c r="E208" s="14" t="s">
        <v>332</v>
      </c>
      <c r="F208" s="14" t="s">
        <v>253</v>
      </c>
      <c r="G208" s="29" t="n">
        <v>46753</v>
      </c>
      <c r="H208" s="29" t="n">
        <v>46783</v>
      </c>
      <c r="I208" s="14" t="s">
        <v>328</v>
      </c>
      <c r="J208" s="14" t="s">
        <v>303</v>
      </c>
      <c r="K208" s="14" t="n">
        <v>31</v>
      </c>
      <c r="L208" s="16" t="n">
        <v>221.007733591167</v>
      </c>
      <c r="M208" s="30" t="n">
        <v>22.9096754759419</v>
      </c>
      <c r="N208" s="16" t="n">
        <v>9.40515091064073</v>
      </c>
      <c r="O208" s="16" t="n">
        <v>-7.50586264815323</v>
      </c>
      <c r="P208" s="16" t="n">
        <v>0</v>
      </c>
      <c r="Q208" s="16" t="n">
        <v>0.00149644031336461</v>
      </c>
      <c r="R208" s="16" t="n">
        <v>-7.73527067569085</v>
      </c>
      <c r="S208" s="16" t="n">
        <v>0</v>
      </c>
      <c r="T208" s="16" t="n">
        <v>1.67137667526324</v>
      </c>
      <c r="U208" s="16" t="n">
        <v>13.2122767086115</v>
      </c>
      <c r="V208" s="16" t="n">
        <v>0</v>
      </c>
      <c r="W208" s="16" t="n">
        <v>551.65625</v>
      </c>
      <c r="X208" s="16" t="n">
        <v>11.90625</v>
      </c>
      <c r="Y208" s="16" t="n">
        <v>8.31903523283309</v>
      </c>
      <c r="Z208" s="16" t="n">
        <v>0</v>
      </c>
      <c r="AA208" s="16" t="n">
        <v>0</v>
      </c>
      <c r="AB208" s="16" t="n">
        <v>0</v>
      </c>
      <c r="AC208" s="16" t="n">
        <v>543.337214767167</v>
      </c>
      <c r="AD208" s="16" t="n">
        <v>293.8</v>
      </c>
      <c r="AE208" s="16" t="n">
        <v>0</v>
      </c>
      <c r="AF208" s="16" t="n">
        <v>0</v>
      </c>
      <c r="AG208" s="16" t="n">
        <v>293.8</v>
      </c>
      <c r="AH208" s="16" t="n">
        <v>5.995451484375</v>
      </c>
      <c r="AI208" s="16" t="n">
        <v>5.995451484375</v>
      </c>
      <c r="AJ208" s="16" t="n">
        <v>0.569166666666667</v>
      </c>
      <c r="AK208" s="16" t="n">
        <v>0</v>
      </c>
      <c r="AL208" s="16" t="n">
        <v>0</v>
      </c>
      <c r="AM208" s="16" t="n">
        <v>3.58721476716691</v>
      </c>
      <c r="AN208" s="16" t="n">
        <v>899.756214767167</v>
      </c>
      <c r="AO208" s="16" t="n">
        <v>0</v>
      </c>
      <c r="AP208" s="16" t="n">
        <v>293.8</v>
      </c>
      <c r="AQ208" s="14" t="n">
        <v>0</v>
      </c>
      <c r="AR208" s="14" t="s">
        <v>372</v>
      </c>
      <c r="AS208" s="29"/>
      <c r="AT208" s="14" t="n">
        <v>130.3556483956</v>
      </c>
      <c r="AU208" s="17" t="n">
        <v>6.90231858643063</v>
      </c>
      <c r="AV208" s="17" t="n">
        <v>1.80130232162606</v>
      </c>
      <c r="AW208" s="16" t="n">
        <v>0</v>
      </c>
      <c r="AX208" s="14" t="s">
        <v>257</v>
      </c>
      <c r="AY208" s="14" t="s">
        <v>361</v>
      </c>
      <c r="AZ208" s="14" t="s">
        <v>461</v>
      </c>
      <c r="BA208" s="14" t="s">
        <v>259</v>
      </c>
      <c r="BB208" s="14" t="s">
        <v>499</v>
      </c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</row>
    <row r="209" customFormat="false" ht="15" hidden="false" customHeight="false" outlineLevel="0" collapsed="false">
      <c r="C209" s="14" t="s">
        <v>279</v>
      </c>
      <c r="D209" s="14" t="s">
        <v>280</v>
      </c>
      <c r="E209" s="14" t="s">
        <v>334</v>
      </c>
      <c r="F209" s="14" t="s">
        <v>335</v>
      </c>
      <c r="G209" s="29" t="n">
        <v>46784</v>
      </c>
      <c r="H209" s="29" t="n">
        <v>46873</v>
      </c>
      <c r="I209" s="14" t="s">
        <v>328</v>
      </c>
      <c r="J209" s="14" t="s">
        <v>255</v>
      </c>
      <c r="K209" s="14" t="n">
        <v>90</v>
      </c>
      <c r="L209" s="16" t="n">
        <v>398.150777198583</v>
      </c>
      <c r="M209" s="30" t="n">
        <v>28.8693217195837</v>
      </c>
      <c r="N209" s="16" t="n">
        <v>43.6581154980704</v>
      </c>
      <c r="O209" s="16" t="n">
        <v>-25.4689813068893</v>
      </c>
      <c r="P209" s="16" t="n">
        <v>-5.31135298700195</v>
      </c>
      <c r="Q209" s="16" t="n">
        <v>32.0373336585349</v>
      </c>
      <c r="R209" s="16" t="n">
        <v>-13.9352772019504</v>
      </c>
      <c r="S209" s="16" t="n">
        <v>0</v>
      </c>
      <c r="T209" s="16" t="n">
        <v>56.4488189676529</v>
      </c>
      <c r="U209" s="16" t="n">
        <v>0</v>
      </c>
      <c r="V209" s="16" t="n">
        <v>25</v>
      </c>
      <c r="W209" s="16" t="n">
        <v>543.337214767167</v>
      </c>
      <c r="X209" s="16" t="n">
        <v>11.90625</v>
      </c>
      <c r="Y209" s="16" t="n">
        <v>11.90625</v>
      </c>
      <c r="Z209" s="16" t="n">
        <v>0</v>
      </c>
      <c r="AA209" s="16" t="n">
        <v>0</v>
      </c>
      <c r="AB209" s="16" t="n">
        <v>0</v>
      </c>
      <c r="AC209" s="16" t="n">
        <v>531.430964767167</v>
      </c>
      <c r="AD209" s="16" t="n">
        <v>293.8</v>
      </c>
      <c r="AE209" s="16" t="n">
        <v>0</v>
      </c>
      <c r="AF209" s="16" t="n">
        <v>0.193190508539116</v>
      </c>
      <c r="AG209" s="16" t="n">
        <v>293.606809491461</v>
      </c>
      <c r="AH209" s="16" t="n">
        <v>17.057339099555</v>
      </c>
      <c r="AI209" s="16" t="n">
        <v>17.0027117924472</v>
      </c>
      <c r="AJ209" s="16" t="n">
        <v>1.13833333333333</v>
      </c>
      <c r="AK209" s="16" t="n">
        <v>1.20833333333333</v>
      </c>
      <c r="AL209" s="16" t="n">
        <v>0</v>
      </c>
      <c r="AM209" s="16" t="n">
        <v>0.0546273071078345</v>
      </c>
      <c r="AN209" s="16" t="n">
        <v>887.656774258628</v>
      </c>
      <c r="AO209" s="16" t="n">
        <v>0</v>
      </c>
      <c r="AP209" s="16" t="n">
        <v>293.8</v>
      </c>
      <c r="AQ209" s="14" t="n">
        <v>0.193190508539116</v>
      </c>
      <c r="AR209" s="14" t="s">
        <v>372</v>
      </c>
      <c r="AS209" s="29"/>
      <c r="AT209" s="14" t="n">
        <v>134.727341995943</v>
      </c>
      <c r="AU209" s="17" t="n">
        <v>6.58854217049246</v>
      </c>
      <c r="AV209" s="17" t="n">
        <v>1.88961936523811</v>
      </c>
      <c r="AW209" s="16" t="n">
        <v>0</v>
      </c>
      <c r="AX209" s="14" t="s">
        <v>257</v>
      </c>
      <c r="AY209" s="14" t="s">
        <v>361</v>
      </c>
      <c r="AZ209" s="14" t="s">
        <v>373</v>
      </c>
      <c r="BA209" s="14" t="s">
        <v>259</v>
      </c>
      <c r="BB209" s="14" t="s">
        <v>500</v>
      </c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</row>
    <row r="210" customFormat="false" ht="15" hidden="false" customHeight="false" outlineLevel="0" collapsed="false">
      <c r="C210" s="14" t="s">
        <v>279</v>
      </c>
      <c r="D210" s="14" t="s">
        <v>280</v>
      </c>
      <c r="E210" s="14" t="s">
        <v>337</v>
      </c>
      <c r="F210" s="14" t="s">
        <v>335</v>
      </c>
      <c r="G210" s="29" t="n">
        <v>46874</v>
      </c>
      <c r="H210" s="29" t="n">
        <v>46965</v>
      </c>
      <c r="I210" s="14" t="s">
        <v>328</v>
      </c>
      <c r="J210" s="14" t="s">
        <v>271</v>
      </c>
      <c r="K210" s="14" t="n">
        <v>92</v>
      </c>
      <c r="L210" s="16" t="n">
        <v>450.664628462803</v>
      </c>
      <c r="M210" s="30" t="n">
        <v>27.6901735836919</v>
      </c>
      <c r="N210" s="16" t="n">
        <v>47.4823568705127</v>
      </c>
      <c r="O210" s="16" t="n">
        <v>-27.8778167751957</v>
      </c>
      <c r="P210" s="16" t="n">
        <v>-5.52838590127115</v>
      </c>
      <c r="Q210" s="16" t="n">
        <v>29.5553832872862</v>
      </c>
      <c r="R210" s="16" t="n">
        <v>-15.7732619961981</v>
      </c>
      <c r="S210" s="16" t="n">
        <v>0</v>
      </c>
      <c r="T210" s="16" t="n">
        <v>55.7360922603297</v>
      </c>
      <c r="U210" s="16" t="n">
        <v>25</v>
      </c>
      <c r="V210" s="16" t="n">
        <v>25</v>
      </c>
      <c r="W210" s="16" t="n">
        <v>531.430964767167</v>
      </c>
      <c r="X210" s="16" t="n">
        <v>11.90625</v>
      </c>
      <c r="Y210" s="16" t="n">
        <v>11.90625</v>
      </c>
      <c r="Z210" s="16" t="n">
        <v>0</v>
      </c>
      <c r="AA210" s="16" t="n">
        <v>0</v>
      </c>
      <c r="AB210" s="16" t="n">
        <v>0</v>
      </c>
      <c r="AC210" s="16" t="n">
        <v>519.524714767167</v>
      </c>
      <c r="AD210" s="16" t="n">
        <v>293.606809491461</v>
      </c>
      <c r="AE210" s="16" t="n">
        <v>0.193190508539116</v>
      </c>
      <c r="AF210" s="16" t="n">
        <v>24.6351653625099</v>
      </c>
      <c r="AG210" s="16" t="n">
        <v>269.16483463749</v>
      </c>
      <c r="AH210" s="16" t="n">
        <v>15.8678674063589</v>
      </c>
      <c r="AI210" s="16" t="n">
        <v>15.8678674063589</v>
      </c>
      <c r="AJ210" s="16" t="n">
        <v>1.7075</v>
      </c>
      <c r="AK210" s="16" t="n">
        <v>1.8125</v>
      </c>
      <c r="AL210" s="16" t="n">
        <v>0</v>
      </c>
      <c r="AM210" s="16" t="n">
        <v>0</v>
      </c>
      <c r="AN210" s="16" t="n">
        <v>851.308549404657</v>
      </c>
      <c r="AO210" s="16" t="n">
        <v>0</v>
      </c>
      <c r="AP210" s="16" t="n">
        <v>293.8</v>
      </c>
      <c r="AQ210" s="14" t="n">
        <v>24.6351653625099</v>
      </c>
      <c r="AR210" s="14" t="s">
        <v>372</v>
      </c>
      <c r="AS210" s="29"/>
      <c r="AT210" s="14" t="n">
        <v>144.171353042936</v>
      </c>
      <c r="AU210" s="17" t="n">
        <v>5.90483845394117</v>
      </c>
      <c r="AV210" s="17" t="n">
        <v>2.08722488897359</v>
      </c>
      <c r="AW210" s="16" t="n">
        <v>0</v>
      </c>
      <c r="AX210" s="14" t="s">
        <v>257</v>
      </c>
      <c r="AY210" s="14" t="s">
        <v>257</v>
      </c>
      <c r="AZ210" s="14" t="s">
        <v>373</v>
      </c>
      <c r="BA210" s="14" t="s">
        <v>259</v>
      </c>
      <c r="BB210" s="14" t="s">
        <v>501</v>
      </c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</row>
    <row r="211" customFormat="false" ht="15" hidden="false" customHeight="false" outlineLevel="0" collapsed="false">
      <c r="C211" s="14" t="s">
        <v>279</v>
      </c>
      <c r="D211" s="14" t="s">
        <v>280</v>
      </c>
      <c r="E211" s="14" t="s">
        <v>339</v>
      </c>
      <c r="F211" s="14" t="s">
        <v>335</v>
      </c>
      <c r="G211" s="29" t="n">
        <v>46966</v>
      </c>
      <c r="H211" s="29" t="n">
        <v>47057</v>
      </c>
      <c r="I211" s="14" t="s">
        <v>328</v>
      </c>
      <c r="J211" s="14" t="s">
        <v>288</v>
      </c>
      <c r="K211" s="14" t="n">
        <v>92</v>
      </c>
      <c r="L211" s="16" t="n">
        <v>460.420706720346</v>
      </c>
      <c r="M211" s="30" t="n">
        <v>27.9159174302794</v>
      </c>
      <c r="N211" s="16" t="n">
        <v>53.0027911688484</v>
      </c>
      <c r="O211" s="16" t="n">
        <v>-27.5723430028742</v>
      </c>
      <c r="P211" s="16" t="n">
        <v>-6.77119718653666</v>
      </c>
      <c r="Q211" s="16" t="n">
        <v>28.3341955420845</v>
      </c>
      <c r="R211" s="16" t="n">
        <v>-16.1147247352121</v>
      </c>
      <c r="S211" s="16" t="n">
        <v>0</v>
      </c>
      <c r="T211" s="16" t="n">
        <v>58.4510647891841</v>
      </c>
      <c r="U211" s="16" t="n">
        <v>25</v>
      </c>
      <c r="V211" s="16" t="n">
        <v>25</v>
      </c>
      <c r="W211" s="16" t="n">
        <v>519.524714767167</v>
      </c>
      <c r="X211" s="16" t="n">
        <v>11.90625</v>
      </c>
      <c r="Y211" s="16" t="n">
        <v>11.90625</v>
      </c>
      <c r="Z211" s="16" t="n">
        <v>0</v>
      </c>
      <c r="AA211" s="16" t="n">
        <v>0</v>
      </c>
      <c r="AB211" s="16" t="n">
        <v>0</v>
      </c>
      <c r="AC211" s="16" t="n">
        <v>507.618464767167</v>
      </c>
      <c r="AD211" s="16" t="n">
        <v>269.16483463749</v>
      </c>
      <c r="AE211" s="16" t="n">
        <v>0.172625273786729</v>
      </c>
      <c r="AF211" s="16" t="n">
        <v>28.8412605844879</v>
      </c>
      <c r="AG211" s="16" t="n">
        <v>240.496199326789</v>
      </c>
      <c r="AH211" s="16" t="n">
        <v>14.3561794784829</v>
      </c>
      <c r="AI211" s="16" t="n">
        <v>14.3561794784829</v>
      </c>
      <c r="AJ211" s="16" t="n">
        <v>1.7075</v>
      </c>
      <c r="AK211" s="16" t="n">
        <v>1.8125</v>
      </c>
      <c r="AL211" s="16" t="n">
        <v>0</v>
      </c>
      <c r="AM211" s="16" t="n">
        <v>0</v>
      </c>
      <c r="AN211" s="16" t="n">
        <v>810.733664093956</v>
      </c>
      <c r="AO211" s="16" t="n">
        <v>24.4625400887232</v>
      </c>
      <c r="AP211" s="16" t="n">
        <v>269.337459911277</v>
      </c>
      <c r="AQ211" s="14" t="n">
        <v>53.3038006732111</v>
      </c>
      <c r="AR211" s="14" t="s">
        <v>372</v>
      </c>
      <c r="AS211" s="29"/>
      <c r="AT211" s="14" t="n">
        <v>158.612726476879</v>
      </c>
      <c r="AU211" s="17" t="n">
        <v>5.11140361875147</v>
      </c>
      <c r="AV211" s="17" t="n">
        <v>2.42928380094465</v>
      </c>
      <c r="AW211" s="16" t="n">
        <v>0</v>
      </c>
      <c r="AX211" s="14" t="s">
        <v>257</v>
      </c>
      <c r="AY211" s="14" t="s">
        <v>257</v>
      </c>
      <c r="AZ211" s="14" t="s">
        <v>373</v>
      </c>
      <c r="BA211" s="14" t="s">
        <v>259</v>
      </c>
      <c r="BB211" s="14" t="s">
        <v>502</v>
      </c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</row>
    <row r="212" customFormat="false" ht="15" hidden="false" customHeight="false" outlineLevel="0" collapsed="false">
      <c r="C212" s="14" t="s">
        <v>279</v>
      </c>
      <c r="D212" s="14" t="s">
        <v>280</v>
      </c>
      <c r="E212" s="14" t="s">
        <v>341</v>
      </c>
      <c r="F212" s="14" t="s">
        <v>335</v>
      </c>
      <c r="G212" s="29" t="n">
        <v>47058</v>
      </c>
      <c r="H212" s="29" t="n">
        <v>47149</v>
      </c>
      <c r="I212" s="14" t="s">
        <v>342</v>
      </c>
      <c r="J212" s="14" t="s">
        <v>303</v>
      </c>
      <c r="K212" s="14" t="n">
        <v>92</v>
      </c>
      <c r="L212" s="16" t="n">
        <v>388.003877187136</v>
      </c>
      <c r="M212" s="30" t="n">
        <v>22.9096754759419</v>
      </c>
      <c r="N212" s="16" t="n">
        <v>28.1519141588936</v>
      </c>
      <c r="O212" s="16" t="n">
        <v>-22.5170250047611</v>
      </c>
      <c r="P212" s="16" t="n">
        <v>-1.57759997606883</v>
      </c>
      <c r="Q212" s="16" t="n">
        <v>29.1491159280904</v>
      </c>
      <c r="R212" s="16" t="n">
        <v>-13.5801357015498</v>
      </c>
      <c r="S212" s="16" t="n">
        <v>0</v>
      </c>
      <c r="T212" s="16" t="n">
        <v>42.1432944093654</v>
      </c>
      <c r="U212" s="16" t="n">
        <v>25</v>
      </c>
      <c r="V212" s="16" t="n">
        <v>25</v>
      </c>
      <c r="W212" s="16" t="n">
        <v>507.618464767167</v>
      </c>
      <c r="X212" s="16" t="n">
        <v>11.90625</v>
      </c>
      <c r="Y212" s="16" t="n">
        <v>11.90625</v>
      </c>
      <c r="Z212" s="16" t="n">
        <v>0</v>
      </c>
      <c r="AA212" s="16" t="n">
        <v>0</v>
      </c>
      <c r="AB212" s="16" t="n">
        <v>0</v>
      </c>
      <c r="AC212" s="16" t="n">
        <v>495.712214767167</v>
      </c>
      <c r="AD212" s="16" t="n">
        <v>240.496199326789</v>
      </c>
      <c r="AE212" s="16" t="n">
        <v>1.28035493045278</v>
      </c>
      <c r="AF212" s="16" t="n">
        <v>15.1337824985723</v>
      </c>
      <c r="AG212" s="16" t="n">
        <v>226.642771758669</v>
      </c>
      <c r="AH212" s="16" t="n">
        <v>12.9466168412459</v>
      </c>
      <c r="AI212" s="16" t="n">
        <v>12.9466168412459</v>
      </c>
      <c r="AJ212" s="16" t="n">
        <v>1.6245</v>
      </c>
      <c r="AK212" s="16" t="n">
        <v>1.8125</v>
      </c>
      <c r="AL212" s="16" t="n">
        <v>0</v>
      </c>
      <c r="AM212" s="16" t="n">
        <v>0</v>
      </c>
      <c r="AN212" s="16" t="n">
        <v>784.973986525836</v>
      </c>
      <c r="AO212" s="16" t="n">
        <v>52.0234457427583</v>
      </c>
      <c r="AP212" s="16" t="n">
        <v>241.776554257242</v>
      </c>
      <c r="AQ212" s="14" t="n">
        <v>67.1572282413306</v>
      </c>
      <c r="AR212" s="14" t="s">
        <v>372</v>
      </c>
      <c r="AS212" s="29"/>
      <c r="AT212" s="14" t="n">
        <v>172.295177696325</v>
      </c>
      <c r="AU212" s="17" t="n">
        <v>4.55598349890776</v>
      </c>
      <c r="AV212" s="17" t="n">
        <v>2.86331249014365</v>
      </c>
      <c r="AW212" s="16" t="n">
        <v>0</v>
      </c>
      <c r="AX212" s="14" t="s">
        <v>257</v>
      </c>
      <c r="AY212" s="14" t="s">
        <v>257</v>
      </c>
      <c r="AZ212" s="14" t="s">
        <v>373</v>
      </c>
      <c r="BA212" s="14" t="s">
        <v>259</v>
      </c>
      <c r="BB212" s="14" t="s">
        <v>503</v>
      </c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</row>
    <row r="213" customFormat="false" ht="15" hidden="false" customHeight="false" outlineLevel="0" collapsed="false">
      <c r="C213" s="14" t="s">
        <v>279</v>
      </c>
      <c r="D213" s="14" t="s">
        <v>280</v>
      </c>
      <c r="E213" s="14" t="s">
        <v>344</v>
      </c>
      <c r="F213" s="14" t="s">
        <v>335</v>
      </c>
      <c r="G213" s="29" t="n">
        <v>47150</v>
      </c>
      <c r="H213" s="29" t="n">
        <v>47238</v>
      </c>
      <c r="I213" s="14" t="s">
        <v>342</v>
      </c>
      <c r="J213" s="14" t="s">
        <v>255</v>
      </c>
      <c r="K213" s="14" t="n">
        <v>89</v>
      </c>
      <c r="L213" s="16" t="n">
        <v>452.432753896764</v>
      </c>
      <c r="M213" s="30" t="n">
        <v>28.8693217195837</v>
      </c>
      <c r="N213" s="16" t="n">
        <v>63.1832372137017</v>
      </c>
      <c r="O213" s="16" t="n">
        <v>-25.4683445823567</v>
      </c>
      <c r="P213" s="16" t="n">
        <v>-9.42872315783627</v>
      </c>
      <c r="Q213" s="16" t="n">
        <v>30.560044798288</v>
      </c>
      <c r="R213" s="16" t="n">
        <v>-15.8351463863867</v>
      </c>
      <c r="S213" s="16" t="n">
        <v>0</v>
      </c>
      <c r="T213" s="16" t="n">
        <v>68.4794124677668</v>
      </c>
      <c r="U213" s="16" t="n">
        <v>25</v>
      </c>
      <c r="V213" s="16" t="n">
        <v>25</v>
      </c>
      <c r="W213" s="16" t="n">
        <v>495.712214767167</v>
      </c>
      <c r="X213" s="16" t="n">
        <v>11.90625</v>
      </c>
      <c r="Y213" s="16" t="n">
        <v>11.90625</v>
      </c>
      <c r="Z213" s="16" t="n">
        <v>0</v>
      </c>
      <c r="AA213" s="16" t="n">
        <v>0</v>
      </c>
      <c r="AB213" s="16" t="n">
        <v>0</v>
      </c>
      <c r="AC213" s="16" t="n">
        <v>483.805964767167</v>
      </c>
      <c r="AD213" s="16" t="n">
        <v>226.642771758669</v>
      </c>
      <c r="AE213" s="16" t="n">
        <v>0</v>
      </c>
      <c r="AF213" s="16" t="n">
        <v>41.710739877601</v>
      </c>
      <c r="AG213" s="16" t="n">
        <v>184.932031881068</v>
      </c>
      <c r="AH213" s="16" t="n">
        <v>11.4254225901657</v>
      </c>
      <c r="AI213" s="16" t="n">
        <v>11.4254225901657</v>
      </c>
      <c r="AJ213" s="16" t="n">
        <v>1.6245</v>
      </c>
      <c r="AK213" s="16" t="n">
        <v>1.8125</v>
      </c>
      <c r="AL213" s="16" t="n">
        <v>0</v>
      </c>
      <c r="AM213" s="16" t="n">
        <v>0</v>
      </c>
      <c r="AN213" s="16" t="n">
        <v>731.356996648235</v>
      </c>
      <c r="AO213" s="16" t="n">
        <v>84.9317967272514</v>
      </c>
      <c r="AP213" s="16" t="n">
        <v>208.868203272749</v>
      </c>
      <c r="AQ213" s="14" t="n">
        <v>108.867968118932</v>
      </c>
      <c r="AR213" s="14" t="s">
        <v>372</v>
      </c>
      <c r="AS213" s="29"/>
      <c r="AT213" s="14" t="n">
        <v>191.820299411956</v>
      </c>
      <c r="AU213" s="17" t="n">
        <v>3.81271950304676</v>
      </c>
      <c r="AV213" s="17" t="n">
        <v>3.51344413775042</v>
      </c>
      <c r="AW213" s="16" t="n">
        <v>0</v>
      </c>
      <c r="AX213" s="14" t="s">
        <v>257</v>
      </c>
      <c r="AY213" s="14" t="s">
        <v>257</v>
      </c>
      <c r="AZ213" s="14" t="s">
        <v>373</v>
      </c>
      <c r="BA213" s="14" t="s">
        <v>259</v>
      </c>
      <c r="BB213" s="14" t="s">
        <v>504</v>
      </c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</row>
    <row r="214" customFormat="false" ht="15" hidden="false" customHeight="false" outlineLevel="0" collapsed="false">
      <c r="C214" s="14" t="s">
        <v>279</v>
      </c>
      <c r="D214" s="14" t="s">
        <v>280</v>
      </c>
      <c r="E214" s="14" t="s">
        <v>346</v>
      </c>
      <c r="F214" s="14" t="s">
        <v>335</v>
      </c>
      <c r="G214" s="29" t="n">
        <v>47239</v>
      </c>
      <c r="H214" s="29" t="n">
        <v>47330</v>
      </c>
      <c r="I214" s="14" t="s">
        <v>342</v>
      </c>
      <c r="J214" s="14" t="s">
        <v>271</v>
      </c>
      <c r="K214" s="14" t="n">
        <v>92</v>
      </c>
      <c r="L214" s="16" t="n">
        <v>495.223474557243</v>
      </c>
      <c r="M214" s="30" t="n">
        <v>27.6901735836919</v>
      </c>
      <c r="N214" s="16" t="n">
        <v>63.3196378606049</v>
      </c>
      <c r="O214" s="16" t="n">
        <v>-27.8771198297763</v>
      </c>
      <c r="P214" s="16" t="n">
        <v>-8.86062950770715</v>
      </c>
      <c r="Q214" s="16" t="n">
        <v>-5.56236379791506</v>
      </c>
      <c r="R214" s="16" t="n">
        <v>-17.3328216095035</v>
      </c>
      <c r="S214" s="16" t="n">
        <v>0</v>
      </c>
      <c r="T214" s="16" t="n">
        <v>31.5638229454792</v>
      </c>
      <c r="U214" s="16" t="n">
        <v>25</v>
      </c>
      <c r="V214" s="16" t="n">
        <v>25</v>
      </c>
      <c r="W214" s="16" t="n">
        <v>483.805964767167</v>
      </c>
      <c r="X214" s="16" t="n">
        <v>11.90625</v>
      </c>
      <c r="Y214" s="16" t="n">
        <v>11.90625</v>
      </c>
      <c r="Z214" s="16" t="n">
        <v>0</v>
      </c>
      <c r="AA214" s="16" t="n">
        <v>0</v>
      </c>
      <c r="AB214" s="16" t="n">
        <v>0</v>
      </c>
      <c r="AC214" s="16" t="n">
        <v>471.899714767167</v>
      </c>
      <c r="AD214" s="16" t="n">
        <v>184.932031881068</v>
      </c>
      <c r="AE214" s="16" t="n">
        <v>6.1132092197725</v>
      </c>
      <c r="AF214" s="16" t="n">
        <v>11.4913633327334</v>
      </c>
      <c r="AG214" s="16" t="n">
        <v>179.553877768107</v>
      </c>
      <c r="AH214" s="16" t="n">
        <v>10.8424188325183</v>
      </c>
      <c r="AI214" s="16" t="n">
        <v>10.8424188325183</v>
      </c>
      <c r="AJ214" s="16" t="n">
        <v>1.6245</v>
      </c>
      <c r="AK214" s="16" t="n">
        <v>1.8125</v>
      </c>
      <c r="AL214" s="16" t="n">
        <v>0</v>
      </c>
      <c r="AM214" s="16" t="n">
        <v>0</v>
      </c>
      <c r="AN214" s="16" t="n">
        <v>714.072592535274</v>
      </c>
      <c r="AO214" s="16" t="n">
        <v>114.246122231893</v>
      </c>
      <c r="AP214" s="16" t="n">
        <v>179.553877768107</v>
      </c>
      <c r="AQ214" s="14" t="n">
        <v>114.246122231893</v>
      </c>
      <c r="AR214" s="14" t="s">
        <v>372</v>
      </c>
      <c r="AS214" s="29"/>
      <c r="AT214" s="14" t="n">
        <v>207.657580402049</v>
      </c>
      <c r="AU214" s="17" t="n">
        <v>3.43870226722641</v>
      </c>
      <c r="AV214" s="17" t="n">
        <v>4.18912464836772</v>
      </c>
      <c r="AW214" s="16" t="n">
        <v>0</v>
      </c>
      <c r="AX214" s="14" t="s">
        <v>257</v>
      </c>
      <c r="AY214" s="14" t="s">
        <v>257</v>
      </c>
      <c r="AZ214" s="14" t="s">
        <v>373</v>
      </c>
      <c r="BA214" s="14" t="s">
        <v>259</v>
      </c>
      <c r="BB214" s="14" t="s">
        <v>505</v>
      </c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</row>
    <row r="215" customFormat="false" ht="15" hidden="false" customHeight="false" outlineLevel="0" collapsed="false">
      <c r="C215" s="14" t="s">
        <v>279</v>
      </c>
      <c r="D215" s="14" t="s">
        <v>280</v>
      </c>
      <c r="E215" s="14" t="s">
        <v>348</v>
      </c>
      <c r="F215" s="14" t="s">
        <v>335</v>
      </c>
      <c r="G215" s="29" t="n">
        <v>47331</v>
      </c>
      <c r="H215" s="29" t="n">
        <v>47422</v>
      </c>
      <c r="I215" s="14" t="s">
        <v>342</v>
      </c>
      <c r="J215" s="14" t="s">
        <v>288</v>
      </c>
      <c r="K215" s="14" t="n">
        <v>92</v>
      </c>
      <c r="L215" s="16" t="n">
        <v>489.797017236892</v>
      </c>
      <c r="M215" s="30" t="n">
        <v>27.9159174302794</v>
      </c>
      <c r="N215" s="16" t="n">
        <v>63.7314936618185</v>
      </c>
      <c r="O215" s="16" t="n">
        <v>-27.5716536942991</v>
      </c>
      <c r="P215" s="16" t="n">
        <v>-9.03995999187983</v>
      </c>
      <c r="Q215" s="16" t="n">
        <v>-3.63818299158489</v>
      </c>
      <c r="R215" s="16" t="n">
        <v>-17.1428956032912</v>
      </c>
      <c r="S215" s="16" t="n">
        <v>0</v>
      </c>
      <c r="T215" s="16" t="n">
        <v>33.9104550750625</v>
      </c>
      <c r="U215" s="16" t="n">
        <v>25</v>
      </c>
      <c r="V215" s="16" t="n">
        <v>25</v>
      </c>
      <c r="W215" s="16" t="n">
        <v>471.899714767167</v>
      </c>
      <c r="X215" s="16" t="n">
        <v>11.90625</v>
      </c>
      <c r="Y215" s="16" t="n">
        <v>11.90625</v>
      </c>
      <c r="Z215" s="16" t="n">
        <v>0</v>
      </c>
      <c r="AA215" s="16" t="n">
        <v>0</v>
      </c>
      <c r="AB215" s="16" t="n">
        <v>0</v>
      </c>
      <c r="AC215" s="16" t="n">
        <v>459.993464767167</v>
      </c>
      <c r="AD215" s="16" t="n">
        <v>179.553877768107</v>
      </c>
      <c r="AE215" s="16" t="n">
        <v>5.22427873682047</v>
      </c>
      <c r="AF215" s="16" t="n">
        <v>13.2546899766632</v>
      </c>
      <c r="AG215" s="16" t="n">
        <v>171.523466528265</v>
      </c>
      <c r="AH215" s="16" t="n">
        <v>10.5367938352198</v>
      </c>
      <c r="AI215" s="16" t="n">
        <v>10.5367938352198</v>
      </c>
      <c r="AJ215" s="16" t="n">
        <v>1.6245</v>
      </c>
      <c r="AK215" s="16" t="n">
        <v>1.8125</v>
      </c>
      <c r="AL215" s="16" t="n">
        <v>0</v>
      </c>
      <c r="AM215" s="16" t="n">
        <v>0</v>
      </c>
      <c r="AN215" s="16" t="n">
        <v>694.135931295432</v>
      </c>
      <c r="AO215" s="16" t="n">
        <v>120.855324863319</v>
      </c>
      <c r="AP215" s="16" t="n">
        <v>172.944675136681</v>
      </c>
      <c r="AQ215" s="14" t="n">
        <v>122.276533471735</v>
      </c>
      <c r="AR215" s="14" t="s">
        <v>372</v>
      </c>
      <c r="AS215" s="29"/>
      <c r="AT215" s="14" t="n">
        <v>218.386282895019</v>
      </c>
      <c r="AU215" s="17" t="n">
        <v>3.17847770516389</v>
      </c>
      <c r="AV215" s="17" t="n">
        <v>4.77334002623019</v>
      </c>
      <c r="AW215" s="16" t="n">
        <v>0</v>
      </c>
      <c r="AX215" s="14" t="s">
        <v>257</v>
      </c>
      <c r="AY215" s="14" t="s">
        <v>257</v>
      </c>
      <c r="AZ215" s="14" t="s">
        <v>258</v>
      </c>
      <c r="BA215" s="14" t="s">
        <v>259</v>
      </c>
      <c r="BB215" s="14" t="s">
        <v>506</v>
      </c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</row>
    <row r="216" customFormat="false" ht="15" hidden="false" customHeight="false" outlineLevel="0" collapsed="false">
      <c r="C216" s="14" t="s">
        <v>279</v>
      </c>
      <c r="D216" s="14" t="s">
        <v>280</v>
      </c>
      <c r="E216" s="14" t="s">
        <v>350</v>
      </c>
      <c r="F216" s="14" t="s">
        <v>335</v>
      </c>
      <c r="G216" s="29" t="n">
        <v>47423</v>
      </c>
      <c r="H216" s="29" t="n">
        <v>47514</v>
      </c>
      <c r="I216" s="14" t="s">
        <v>351</v>
      </c>
      <c r="J216" s="14" t="s">
        <v>303</v>
      </c>
      <c r="K216" s="14" t="n">
        <v>92</v>
      </c>
      <c r="L216" s="16" t="n">
        <v>399.993997000213</v>
      </c>
      <c r="M216" s="30" t="n">
        <v>22.9096754759419</v>
      </c>
      <c r="N216" s="16" t="n">
        <v>32.0218213290888</v>
      </c>
      <c r="O216" s="16" t="n">
        <v>-22.516462079136</v>
      </c>
      <c r="P216" s="16" t="n">
        <v>-2.37633981248821</v>
      </c>
      <c r="Q216" s="16" t="n">
        <v>-1.53612114393274</v>
      </c>
      <c r="R216" s="16" t="n">
        <v>-13.9997898950074</v>
      </c>
      <c r="S216" s="16" t="n">
        <v>0</v>
      </c>
      <c r="T216" s="16" t="n">
        <v>14.1095704776604</v>
      </c>
      <c r="U216" s="16" t="n">
        <v>25</v>
      </c>
      <c r="V216" s="16" t="n">
        <v>25</v>
      </c>
      <c r="W216" s="16" t="n">
        <v>459.993464767167</v>
      </c>
      <c r="X216" s="16" t="n">
        <v>11.90625</v>
      </c>
      <c r="Y216" s="16" t="n">
        <v>11.90625</v>
      </c>
      <c r="Z216" s="16" t="n">
        <v>0</v>
      </c>
      <c r="AA216" s="16" t="n">
        <v>0</v>
      </c>
      <c r="AB216" s="16" t="n">
        <v>0</v>
      </c>
      <c r="AC216" s="16" t="n">
        <v>448.087214767167</v>
      </c>
      <c r="AD216" s="16" t="n">
        <v>171.523466528265</v>
      </c>
      <c r="AE216" s="16" t="n">
        <v>11.7751658936551</v>
      </c>
      <c r="AF216" s="16" t="n">
        <v>0.260024942043748</v>
      </c>
      <c r="AG216" s="16" t="n">
        <v>183.038607479876</v>
      </c>
      <c r="AH216" s="16" t="n">
        <v>10.3694614292717</v>
      </c>
      <c r="AI216" s="16" t="n">
        <v>10.3694614292717</v>
      </c>
      <c r="AJ216" s="16" t="n">
        <v>1.5365</v>
      </c>
      <c r="AK216" s="16" t="n">
        <v>1.8125</v>
      </c>
      <c r="AL216" s="16" t="n">
        <v>0</v>
      </c>
      <c r="AM216" s="16" t="n">
        <v>0</v>
      </c>
      <c r="AN216" s="16" t="n">
        <v>693.744822247043</v>
      </c>
      <c r="AO216" s="16" t="n">
        <v>110.761392520124</v>
      </c>
      <c r="AP216" s="16" t="n">
        <v>183.038607479876</v>
      </c>
      <c r="AQ216" s="14" t="n">
        <v>110.761392520124</v>
      </c>
      <c r="AR216" s="14" t="s">
        <v>372</v>
      </c>
      <c r="AS216" s="29"/>
      <c r="AT216" s="14" t="n">
        <v>222.256190065214</v>
      </c>
      <c r="AU216" s="17" t="n">
        <v>3.12137458148403</v>
      </c>
      <c r="AV216" s="17" t="n">
        <v>5.14790596953551</v>
      </c>
      <c r="AW216" s="16" t="n">
        <v>0</v>
      </c>
      <c r="AX216" s="14" t="s">
        <v>257</v>
      </c>
      <c r="AY216" s="14" t="s">
        <v>257</v>
      </c>
      <c r="AZ216" s="14" t="s">
        <v>258</v>
      </c>
      <c r="BA216" s="14" t="s">
        <v>259</v>
      </c>
      <c r="BB216" s="14" t="s">
        <v>507</v>
      </c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</row>
    <row r="217" customFormat="false" ht="15" hidden="false" customHeight="false" outlineLevel="0" collapsed="false">
      <c r="C217" s="14" t="s">
        <v>279</v>
      </c>
      <c r="D217" s="14" t="s">
        <v>280</v>
      </c>
      <c r="E217" s="14" t="s">
        <v>353</v>
      </c>
      <c r="F217" s="14" t="s">
        <v>335</v>
      </c>
      <c r="G217" s="29" t="n">
        <v>47515</v>
      </c>
      <c r="H217" s="29" t="n">
        <v>47603</v>
      </c>
      <c r="I217" s="14" t="s">
        <v>351</v>
      </c>
      <c r="J217" s="14" t="s">
        <v>255</v>
      </c>
      <c r="K217" s="14" t="n">
        <v>89</v>
      </c>
      <c r="L217" s="16" t="n">
        <v>452.421443077917</v>
      </c>
      <c r="M217" s="30" t="n">
        <v>28.8693217195837</v>
      </c>
      <c r="N217" s="16" t="n">
        <v>63.1816576327714</v>
      </c>
      <c r="O217" s="16" t="n">
        <v>-25.4677078737421</v>
      </c>
      <c r="P217" s="16" t="n">
        <v>-9.42848743975732</v>
      </c>
      <c r="Q217" s="16" t="n">
        <v>0.00165728527647751</v>
      </c>
      <c r="R217" s="16" t="n">
        <v>-15.8347505077271</v>
      </c>
      <c r="S217" s="16" t="n">
        <v>0</v>
      </c>
      <c r="T217" s="16" t="n">
        <v>37.9200769705635</v>
      </c>
      <c r="U217" s="16" t="n">
        <v>25</v>
      </c>
      <c r="V217" s="16" t="n">
        <v>25</v>
      </c>
      <c r="W217" s="16" t="n">
        <v>448.087214767167</v>
      </c>
      <c r="X217" s="16" t="n">
        <v>11.90625</v>
      </c>
      <c r="Y217" s="16" t="n">
        <v>11.90625</v>
      </c>
      <c r="Z217" s="16" t="n">
        <v>0</v>
      </c>
      <c r="AA217" s="16" t="n">
        <v>0</v>
      </c>
      <c r="AB217" s="16" t="n">
        <v>0</v>
      </c>
      <c r="AC217" s="16" t="n">
        <v>436.180964767167</v>
      </c>
      <c r="AD217" s="16" t="n">
        <v>183.038607479876</v>
      </c>
      <c r="AE217" s="16" t="n">
        <v>3.72674681746733</v>
      </c>
      <c r="AF217" s="16" t="n">
        <v>16.2252686486439</v>
      </c>
      <c r="AG217" s="16" t="n">
        <v>170.540085648699</v>
      </c>
      <c r="AH217" s="16" t="n">
        <v>10.1663051393869</v>
      </c>
      <c r="AI217" s="16" t="n">
        <v>10.1663051393869</v>
      </c>
      <c r="AJ217" s="16" t="n">
        <v>1.5365</v>
      </c>
      <c r="AK217" s="16" t="n">
        <v>1.8125</v>
      </c>
      <c r="AL217" s="16" t="n">
        <v>0</v>
      </c>
      <c r="AM217" s="16" t="n">
        <v>0</v>
      </c>
      <c r="AN217" s="16" t="n">
        <v>669.340050415866</v>
      </c>
      <c r="AO217" s="16" t="n">
        <v>118.851818507983</v>
      </c>
      <c r="AP217" s="16" t="n">
        <v>174.948181492017</v>
      </c>
      <c r="AQ217" s="14" t="n">
        <v>123.259914351301</v>
      </c>
      <c r="AR217" s="14" t="s">
        <v>372</v>
      </c>
      <c r="AS217" s="29"/>
      <c r="AT217" s="14" t="n">
        <v>222.254610484284</v>
      </c>
      <c r="AU217" s="17" t="n">
        <v>3.01159129593488</v>
      </c>
      <c r="AV217" s="17" t="n">
        <v>5.30251033242287</v>
      </c>
      <c r="AW217" s="16" t="n">
        <v>0</v>
      </c>
      <c r="AX217" s="14" t="s">
        <v>257</v>
      </c>
      <c r="AY217" s="14" t="s">
        <v>257</v>
      </c>
      <c r="AZ217" s="14" t="s">
        <v>258</v>
      </c>
      <c r="BA217" s="14" t="s">
        <v>259</v>
      </c>
      <c r="BB217" s="14" t="s">
        <v>508</v>
      </c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</row>
    <row r="218" customFormat="false" ht="15" hidden="false" customHeight="false" outlineLevel="0" collapsed="false">
      <c r="C218" s="14" t="s">
        <v>279</v>
      </c>
      <c r="D218" s="14" t="s">
        <v>280</v>
      </c>
      <c r="E218" s="14" t="s">
        <v>355</v>
      </c>
      <c r="F218" s="14" t="s">
        <v>335</v>
      </c>
      <c r="G218" s="29" t="n">
        <v>47604</v>
      </c>
      <c r="H218" s="29" t="n">
        <v>47695</v>
      </c>
      <c r="I218" s="14" t="s">
        <v>351</v>
      </c>
      <c r="J218" s="14" t="s">
        <v>271</v>
      </c>
      <c r="K218" s="14" t="n">
        <v>92</v>
      </c>
      <c r="L218" s="16" t="n">
        <v>495.211093970379</v>
      </c>
      <c r="M218" s="30" t="n">
        <v>27.6901735836919</v>
      </c>
      <c r="N218" s="16" t="n">
        <v>63.3180548696584</v>
      </c>
      <c r="O218" s="16" t="n">
        <v>-27.8764229017806</v>
      </c>
      <c r="P218" s="16" t="n">
        <v>-8.86040799196946</v>
      </c>
      <c r="Q218" s="16" t="n">
        <v>0.00182870502781671</v>
      </c>
      <c r="R218" s="16" t="n">
        <v>-17.3323882889633</v>
      </c>
      <c r="S218" s="16" t="n">
        <v>0</v>
      </c>
      <c r="T218" s="16" t="n">
        <v>37.1270872937535</v>
      </c>
      <c r="U218" s="16" t="n">
        <v>25</v>
      </c>
      <c r="V218" s="16" t="n">
        <v>25</v>
      </c>
      <c r="W218" s="16" t="n">
        <v>436.180964767167</v>
      </c>
      <c r="X218" s="16" t="n">
        <v>11.90625</v>
      </c>
      <c r="Y218" s="16" t="n">
        <v>11.90625</v>
      </c>
      <c r="Z218" s="16" t="n">
        <v>0</v>
      </c>
      <c r="AA218" s="16" t="n">
        <v>0</v>
      </c>
      <c r="AB218" s="16" t="n">
        <v>0</v>
      </c>
      <c r="AC218" s="16" t="n">
        <v>424.274714767167</v>
      </c>
      <c r="AD218" s="16" t="n">
        <v>170.540085648699</v>
      </c>
      <c r="AE218" s="16" t="n">
        <v>3.85926253021836</v>
      </c>
      <c r="AF218" s="16" t="n">
        <v>15.962403901046</v>
      </c>
      <c r="AG218" s="16" t="n">
        <v>158.436944277872</v>
      </c>
      <c r="AH218" s="16" t="n">
        <v>9.76869592292584</v>
      </c>
      <c r="AI218" s="16" t="n">
        <v>9.76869592292584</v>
      </c>
      <c r="AJ218" s="16" t="n">
        <v>1.5365</v>
      </c>
      <c r="AK218" s="16" t="n">
        <v>1.8125</v>
      </c>
      <c r="AL218" s="16" t="n">
        <v>0</v>
      </c>
      <c r="AM218" s="16" t="n">
        <v>0</v>
      </c>
      <c r="AN218" s="16" t="n">
        <v>645.330659045039</v>
      </c>
      <c r="AO218" s="16" t="n">
        <v>131.219267761484</v>
      </c>
      <c r="AP218" s="16" t="n">
        <v>162.580732238516</v>
      </c>
      <c r="AQ218" s="14" t="n">
        <v>135.363055722128</v>
      </c>
      <c r="AR218" s="14" t="s">
        <v>372</v>
      </c>
      <c r="AS218" s="29"/>
      <c r="AT218" s="14" t="n">
        <v>222.253027493337</v>
      </c>
      <c r="AU218" s="17" t="n">
        <v>2.90358545988484</v>
      </c>
      <c r="AV218" s="17" t="n">
        <v>5.44187538490269</v>
      </c>
      <c r="AW218" s="16" t="n">
        <v>0</v>
      </c>
      <c r="AX218" s="14" t="s">
        <v>257</v>
      </c>
      <c r="AY218" s="14" t="s">
        <v>257</v>
      </c>
      <c r="AZ218" s="14" t="s">
        <v>258</v>
      </c>
      <c r="BA218" s="14" t="s">
        <v>259</v>
      </c>
      <c r="BB218" s="14" t="s">
        <v>509</v>
      </c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</row>
    <row r="219" customFormat="false" ht="15" hidden="false" customHeight="false" outlineLevel="0" collapsed="false">
      <c r="C219" s="14" t="s">
        <v>279</v>
      </c>
      <c r="D219" s="14" t="s">
        <v>280</v>
      </c>
      <c r="E219" s="14" t="s">
        <v>357</v>
      </c>
      <c r="F219" s="14" t="s">
        <v>335</v>
      </c>
      <c r="G219" s="29" t="n">
        <v>47696</v>
      </c>
      <c r="H219" s="29" t="n">
        <v>47787</v>
      </c>
      <c r="I219" s="14" t="s">
        <v>351</v>
      </c>
      <c r="J219" s="14" t="s">
        <v>288</v>
      </c>
      <c r="K219" s="14" t="n">
        <v>92</v>
      </c>
      <c r="L219" s="16" t="n">
        <v>489.784772311461</v>
      </c>
      <c r="M219" s="30" t="n">
        <v>27.9159174302794</v>
      </c>
      <c r="N219" s="16" t="n">
        <v>63.7299003744769</v>
      </c>
      <c r="O219" s="16" t="n">
        <v>-27.5709644029568</v>
      </c>
      <c r="P219" s="16" t="n">
        <v>-9.03973399288004</v>
      </c>
      <c r="Q219" s="16" t="n">
        <v>0.00180588811739999</v>
      </c>
      <c r="R219" s="16" t="n">
        <v>-17.1424670309011</v>
      </c>
      <c r="S219" s="16" t="n">
        <v>0</v>
      </c>
      <c r="T219" s="16" t="n">
        <v>37.5495052388131</v>
      </c>
      <c r="U219" s="16" t="n">
        <v>25</v>
      </c>
      <c r="V219" s="16" t="n">
        <v>25</v>
      </c>
      <c r="W219" s="16" t="n">
        <v>424.274714767167</v>
      </c>
      <c r="X219" s="16" t="n">
        <v>11.90625</v>
      </c>
      <c r="Y219" s="16" t="n">
        <v>11.90625</v>
      </c>
      <c r="Z219" s="16" t="n">
        <v>0</v>
      </c>
      <c r="AA219" s="16" t="n">
        <v>0</v>
      </c>
      <c r="AB219" s="16" t="n">
        <v>0</v>
      </c>
      <c r="AC219" s="16" t="n">
        <v>412.368464767167</v>
      </c>
      <c r="AD219" s="16" t="n">
        <v>158.436944277872</v>
      </c>
      <c r="AE219" s="16" t="n">
        <v>3.58325194383265</v>
      </c>
      <c r="AF219" s="16" t="n">
        <v>16.5099122049174</v>
      </c>
      <c r="AG219" s="16" t="n">
        <v>145.510284016787</v>
      </c>
      <c r="AH219" s="16" t="n">
        <v>9.3675949777284</v>
      </c>
      <c r="AI219" s="16" t="n">
        <v>9.3675949777284</v>
      </c>
      <c r="AJ219" s="16" t="n">
        <v>1.5365</v>
      </c>
      <c r="AK219" s="16" t="n">
        <v>1.8125</v>
      </c>
      <c r="AL219" s="16" t="n">
        <v>0</v>
      </c>
      <c r="AM219" s="16" t="n">
        <v>0</v>
      </c>
      <c r="AN219" s="16" t="n">
        <v>620.497748783954</v>
      </c>
      <c r="AO219" s="16" t="n">
        <v>143.595413882256</v>
      </c>
      <c r="AP219" s="16" t="n">
        <v>150.204586117744</v>
      </c>
      <c r="AQ219" s="14" t="n">
        <v>148.289715983213</v>
      </c>
      <c r="AR219" s="14" t="s">
        <v>372</v>
      </c>
      <c r="AS219" s="29"/>
      <c r="AT219" s="14" t="n">
        <v>222.251434205996</v>
      </c>
      <c r="AU219" s="17" t="n">
        <v>2.79187286687581</v>
      </c>
      <c r="AV219" s="17" t="n">
        <v>5.60221597727598</v>
      </c>
      <c r="AW219" s="16" t="n">
        <v>0</v>
      </c>
      <c r="AX219" s="14" t="s">
        <v>257</v>
      </c>
      <c r="AY219" s="14" t="s">
        <v>257</v>
      </c>
      <c r="AZ219" s="14" t="s">
        <v>258</v>
      </c>
      <c r="BA219" s="14" t="s">
        <v>259</v>
      </c>
      <c r="BB219" s="14" t="s">
        <v>510</v>
      </c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</row>
    <row r="220" customFormat="false" ht="15" hidden="false" customHeight="false" outlineLevel="0" collapsed="false">
      <c r="C220" s="14" t="s">
        <v>279</v>
      </c>
      <c r="D220" s="14" t="s">
        <v>280</v>
      </c>
      <c r="E220" s="14" t="s">
        <v>359</v>
      </c>
      <c r="F220" s="14" t="s">
        <v>335</v>
      </c>
      <c r="G220" s="29" t="n">
        <v>47788</v>
      </c>
      <c r="H220" s="29" t="n">
        <v>47879</v>
      </c>
      <c r="I220" s="14" t="s">
        <v>360</v>
      </c>
      <c r="J220" s="14" t="s">
        <v>303</v>
      </c>
      <c r="K220" s="14" t="n">
        <v>92</v>
      </c>
      <c r="L220" s="16" t="n">
        <v>399.983997150288</v>
      </c>
      <c r="M220" s="30" t="n">
        <v>22.9096754759419</v>
      </c>
      <c r="N220" s="16" t="n">
        <v>32.0210207835556</v>
      </c>
      <c r="O220" s="16" t="n">
        <v>-22.515899167584</v>
      </c>
      <c r="P220" s="16" t="n">
        <v>-2.3762804039929</v>
      </c>
      <c r="Q220" s="16" t="n">
        <v>0.00152510724725765</v>
      </c>
      <c r="R220" s="16" t="n">
        <v>-13.9994399002601</v>
      </c>
      <c r="S220" s="16" t="n">
        <v>0</v>
      </c>
      <c r="T220" s="16" t="n">
        <v>15.6468255865499</v>
      </c>
      <c r="U220" s="16" t="n">
        <v>25</v>
      </c>
      <c r="V220" s="16" t="n">
        <v>25</v>
      </c>
      <c r="W220" s="16" t="n">
        <v>412.368464767167</v>
      </c>
      <c r="X220" s="16" t="n">
        <v>11.90625</v>
      </c>
      <c r="Y220" s="16" t="n">
        <v>11.90625</v>
      </c>
      <c r="Z220" s="16" t="n">
        <v>0</v>
      </c>
      <c r="AA220" s="16" t="n">
        <v>554.718188706226</v>
      </c>
      <c r="AB220" s="16" t="n">
        <v>0</v>
      </c>
      <c r="AC220" s="16" t="n">
        <v>400.462214767167</v>
      </c>
      <c r="AD220" s="16" t="n">
        <v>145.510284016787</v>
      </c>
      <c r="AE220" s="16" t="n">
        <v>10.8469567030487</v>
      </c>
      <c r="AF220" s="16" t="n">
        <v>2.10126678077713</v>
      </c>
      <c r="AG220" s="16" t="n">
        <v>154.255973939059</v>
      </c>
      <c r="AH220" s="16" t="n">
        <v>9.13726550882145</v>
      </c>
      <c r="AI220" s="16" t="n">
        <v>9.13726550882145</v>
      </c>
      <c r="AJ220" s="16" t="n">
        <v>1.5365</v>
      </c>
      <c r="AK220" s="16" t="n">
        <v>1.8125</v>
      </c>
      <c r="AL220" s="16" t="n">
        <v>0</v>
      </c>
      <c r="AM220" s="16" t="n">
        <v>0</v>
      </c>
      <c r="AN220" s="16" t="n">
        <v>617.337188706226</v>
      </c>
      <c r="AO220" s="16" t="n">
        <v>0</v>
      </c>
      <c r="AP220" s="16" t="n">
        <v>154.255973939059</v>
      </c>
      <c r="AQ220" s="14" t="n">
        <v>0</v>
      </c>
      <c r="AR220" s="14" t="s">
        <v>372</v>
      </c>
      <c r="AS220" s="29"/>
      <c r="AT220" s="14" t="n">
        <v>222.250633660462</v>
      </c>
      <c r="AU220" s="17" t="n">
        <v>2.77766222097412</v>
      </c>
      <c r="AV220" s="17" t="n">
        <v>5.78177508204471</v>
      </c>
      <c r="AW220" s="16" t="n">
        <v>554.718188706226</v>
      </c>
      <c r="AX220" s="14" t="s">
        <v>361</v>
      </c>
      <c r="AY220" s="14" t="s">
        <v>257</v>
      </c>
      <c r="AZ220" s="14" t="s">
        <v>362</v>
      </c>
      <c r="BA220" s="14" t="s">
        <v>259</v>
      </c>
      <c r="BB220" s="14" t="s">
        <v>511</v>
      </c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</row>
    <row r="221" customFormat="false" ht="15" hidden="false" customHeight="false" outlineLevel="0" collapsed="false">
      <c r="C221" s="14" t="s">
        <v>284</v>
      </c>
      <c r="D221" s="14" t="s">
        <v>285</v>
      </c>
      <c r="E221" s="14" t="s">
        <v>252</v>
      </c>
      <c r="F221" s="14" t="s">
        <v>253</v>
      </c>
      <c r="G221" s="29" t="n">
        <v>46054</v>
      </c>
      <c r="H221" s="29" t="n">
        <v>46081</v>
      </c>
      <c r="I221" s="14" t="s">
        <v>254</v>
      </c>
      <c r="J221" s="14" t="s">
        <v>255</v>
      </c>
      <c r="K221" s="14" t="n">
        <v>28</v>
      </c>
      <c r="L221" s="16" t="n">
        <v>84.61127066535</v>
      </c>
      <c r="M221" s="30" t="n">
        <v>28.8693217195837</v>
      </c>
      <c r="N221" s="16" t="n">
        <v>10.1239261348662</v>
      </c>
      <c r="O221" s="16" t="n">
        <v>-8.4900849345702</v>
      </c>
      <c r="P221" s="16" t="n">
        <v>-1.34024712164309</v>
      </c>
      <c r="Q221" s="16" t="n">
        <v>-14.6858737706374</v>
      </c>
      <c r="R221" s="16" t="n">
        <v>-2.96139447328725</v>
      </c>
      <c r="S221" s="16" t="n">
        <v>-0.44</v>
      </c>
      <c r="T221" s="16" t="n">
        <v>-9.30358923070151</v>
      </c>
      <c r="U221" s="16" t="n">
        <v>25</v>
      </c>
      <c r="V221" s="16" t="n">
        <v>25</v>
      </c>
      <c r="W221" s="16" t="n">
        <v>635</v>
      </c>
      <c r="X221" s="16" t="n">
        <v>0</v>
      </c>
      <c r="Y221" s="16" t="n">
        <v>0</v>
      </c>
      <c r="Z221" s="16" t="n">
        <v>0</v>
      </c>
      <c r="AA221" s="16" t="n">
        <v>0</v>
      </c>
      <c r="AB221" s="16" t="n">
        <v>0</v>
      </c>
      <c r="AC221" s="16" t="n">
        <v>635</v>
      </c>
      <c r="AD221" s="16" t="n">
        <v>29.89771875</v>
      </c>
      <c r="AE221" s="16" t="n">
        <v>15.8689556708278</v>
      </c>
      <c r="AF221" s="16" t="n">
        <v>0</v>
      </c>
      <c r="AG221" s="16" t="n">
        <v>45.7666744208278</v>
      </c>
      <c r="AH221" s="16" t="n">
        <v>4.24444977345964</v>
      </c>
      <c r="AI221" s="16" t="n">
        <v>4.24444977345964</v>
      </c>
      <c r="AJ221" s="16" t="n">
        <v>0.695916666666667</v>
      </c>
      <c r="AK221" s="16" t="n">
        <v>1.20833333333333</v>
      </c>
      <c r="AL221" s="16" t="n">
        <v>0.416666666666667</v>
      </c>
      <c r="AM221" s="16" t="n">
        <v>0</v>
      </c>
      <c r="AN221" s="16" t="n">
        <v>743.385674420828</v>
      </c>
      <c r="AO221" s="16" t="n">
        <v>248.033325579172</v>
      </c>
      <c r="AP221" s="16" t="n">
        <v>45.7666744208278</v>
      </c>
      <c r="AQ221" s="14" t="n">
        <v>248.033325579172</v>
      </c>
      <c r="AR221" s="14" t="s">
        <v>256</v>
      </c>
      <c r="AS221" s="29"/>
      <c r="AT221" s="14"/>
      <c r="AU221" s="17"/>
      <c r="AV221" s="17"/>
      <c r="AW221" s="16" t="n">
        <v>0</v>
      </c>
      <c r="AX221" s="14" t="s">
        <v>257</v>
      </c>
      <c r="AY221" s="14" t="s">
        <v>257</v>
      </c>
      <c r="AZ221" s="14" t="s">
        <v>258</v>
      </c>
      <c r="BA221" s="14" t="s">
        <v>259</v>
      </c>
      <c r="BB221" s="14" t="s">
        <v>512</v>
      </c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</row>
    <row r="222" customFormat="false" ht="15" hidden="false" customHeight="false" outlineLevel="0" collapsed="false">
      <c r="C222" s="14" t="s">
        <v>284</v>
      </c>
      <c r="D222" s="14" t="s">
        <v>285</v>
      </c>
      <c r="E222" s="14" t="s">
        <v>261</v>
      </c>
      <c r="F222" s="14" t="s">
        <v>253</v>
      </c>
      <c r="G222" s="29" t="n">
        <v>46082</v>
      </c>
      <c r="H222" s="29" t="n">
        <v>46112</v>
      </c>
      <c r="I222" s="14" t="s">
        <v>254</v>
      </c>
      <c r="J222" s="14" t="s">
        <v>255</v>
      </c>
      <c r="K222" s="14" t="n">
        <v>31</v>
      </c>
      <c r="L222" s="16" t="n">
        <v>126.916905998025</v>
      </c>
      <c r="M222" s="30" t="n">
        <v>28.8693217195837</v>
      </c>
      <c r="N222" s="16" t="n">
        <v>15.1858892022994</v>
      </c>
      <c r="O222" s="16" t="n">
        <v>-8.4900849345702</v>
      </c>
      <c r="P222" s="16" t="n">
        <v>-2.01037068246463</v>
      </c>
      <c r="Q222" s="16" t="n">
        <v>-22.0288106559561</v>
      </c>
      <c r="R222" s="16" t="n">
        <v>-4.44209170993088</v>
      </c>
      <c r="S222" s="16" t="n">
        <v>-0.66</v>
      </c>
      <c r="T222" s="16" t="n">
        <v>-13.9553838460523</v>
      </c>
      <c r="U222" s="16" t="n">
        <v>25</v>
      </c>
      <c r="V222" s="16" t="n">
        <v>25</v>
      </c>
      <c r="W222" s="16" t="n">
        <v>635</v>
      </c>
      <c r="X222" s="16" t="n">
        <v>0</v>
      </c>
      <c r="Y222" s="16" t="n">
        <v>0</v>
      </c>
      <c r="Z222" s="16" t="n">
        <v>0</v>
      </c>
      <c r="AA222" s="16" t="n">
        <v>0</v>
      </c>
      <c r="AB222" s="16" t="n">
        <v>0</v>
      </c>
      <c r="AC222" s="16" t="n">
        <v>635</v>
      </c>
      <c r="AD222" s="16" t="n">
        <v>45.7666744208278</v>
      </c>
      <c r="AE222" s="16" t="n">
        <v>20.6358926619616</v>
      </c>
      <c r="AF222" s="16" t="n">
        <v>0</v>
      </c>
      <c r="AG222" s="16" t="n">
        <v>66.4025670827894</v>
      </c>
      <c r="AH222" s="16" t="n">
        <v>4.35959214924264</v>
      </c>
      <c r="AI222" s="16" t="n">
        <v>4.35959214924264</v>
      </c>
      <c r="AJ222" s="16" t="n">
        <v>0.695916666666667</v>
      </c>
      <c r="AK222" s="16" t="n">
        <v>1.20833333333333</v>
      </c>
      <c r="AL222" s="16" t="n">
        <v>0.416666666666667</v>
      </c>
      <c r="AM222" s="16" t="n">
        <v>0</v>
      </c>
      <c r="AN222" s="16" t="n">
        <v>764.021567082789</v>
      </c>
      <c r="AO222" s="16" t="n">
        <v>227.397432917211</v>
      </c>
      <c r="AP222" s="16" t="n">
        <v>66.4025670827894</v>
      </c>
      <c r="AQ222" s="14" t="n">
        <v>227.397432917211</v>
      </c>
      <c r="AR222" s="14" t="s">
        <v>256</v>
      </c>
      <c r="AS222" s="29"/>
      <c r="AT222" s="14"/>
      <c r="AU222" s="17"/>
      <c r="AV222" s="17"/>
      <c r="AW222" s="16" t="n">
        <v>0</v>
      </c>
      <c r="AX222" s="14" t="s">
        <v>257</v>
      </c>
      <c r="AY222" s="14" t="s">
        <v>257</v>
      </c>
      <c r="AZ222" s="14" t="s">
        <v>258</v>
      </c>
      <c r="BA222" s="14" t="s">
        <v>259</v>
      </c>
      <c r="BB222" s="14" t="s">
        <v>513</v>
      </c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</row>
    <row r="223" customFormat="false" ht="15" hidden="false" customHeight="false" outlineLevel="0" collapsed="false">
      <c r="C223" s="14" t="s">
        <v>284</v>
      </c>
      <c r="D223" s="14" t="s">
        <v>285</v>
      </c>
      <c r="E223" s="14" t="s">
        <v>266</v>
      </c>
      <c r="F223" s="14" t="s">
        <v>253</v>
      </c>
      <c r="G223" s="29" t="n">
        <v>46113</v>
      </c>
      <c r="H223" s="29" t="n">
        <v>46142</v>
      </c>
      <c r="I223" s="14" t="s">
        <v>254</v>
      </c>
      <c r="J223" s="14" t="s">
        <v>255</v>
      </c>
      <c r="K223" s="14" t="n">
        <v>30</v>
      </c>
      <c r="L223" s="16" t="n">
        <v>211.528176663375</v>
      </c>
      <c r="M223" s="30" t="n">
        <v>28.8693217195837</v>
      </c>
      <c r="N223" s="16" t="n">
        <v>25.3098153371656</v>
      </c>
      <c r="O223" s="16" t="n">
        <v>-8.4900849345702</v>
      </c>
      <c r="P223" s="16" t="n">
        <v>-3.35061780410772</v>
      </c>
      <c r="Q223" s="16" t="n">
        <v>-36.7146844265935</v>
      </c>
      <c r="R223" s="16" t="n">
        <v>-7.40348618321813</v>
      </c>
      <c r="S223" s="16" t="n">
        <v>-1.1</v>
      </c>
      <c r="T223" s="16" t="n">
        <v>-23.2589730767538</v>
      </c>
      <c r="U223" s="16" t="n">
        <v>25</v>
      </c>
      <c r="V223" s="16" t="n">
        <v>25</v>
      </c>
      <c r="W223" s="16" t="n">
        <v>635</v>
      </c>
      <c r="X223" s="16" t="n">
        <v>11.90625</v>
      </c>
      <c r="Y223" s="16" t="n">
        <v>11.90625</v>
      </c>
      <c r="Z223" s="16" t="n">
        <v>0</v>
      </c>
      <c r="AA223" s="16" t="n">
        <v>0</v>
      </c>
      <c r="AB223" s="16" t="n">
        <v>0</v>
      </c>
      <c r="AC223" s="16" t="n">
        <v>623.09375</v>
      </c>
      <c r="AD223" s="16" t="n">
        <v>66.4025670827894</v>
      </c>
      <c r="AE223" s="16" t="n">
        <v>42.0057598079536</v>
      </c>
      <c r="AF223" s="16" t="n">
        <v>0</v>
      </c>
      <c r="AG223" s="16" t="n">
        <v>108.408326890743</v>
      </c>
      <c r="AH223" s="16" t="n">
        <v>4.51962006453314</v>
      </c>
      <c r="AI223" s="16" t="n">
        <v>4.51962006453314</v>
      </c>
      <c r="AJ223" s="16" t="n">
        <v>0.695916666666667</v>
      </c>
      <c r="AK223" s="16" t="n">
        <v>1.20833333333333</v>
      </c>
      <c r="AL223" s="16" t="n">
        <v>0.416666666666667</v>
      </c>
      <c r="AM223" s="16" t="n">
        <v>0</v>
      </c>
      <c r="AN223" s="16" t="n">
        <v>794.121076890743</v>
      </c>
      <c r="AO223" s="16" t="n">
        <v>185.391673109257</v>
      </c>
      <c r="AP223" s="16" t="n">
        <v>108.408326890743</v>
      </c>
      <c r="AQ223" s="14" t="n">
        <v>185.391673109257</v>
      </c>
      <c r="AR223" s="14" t="s">
        <v>256</v>
      </c>
      <c r="AS223" s="29"/>
      <c r="AT223" s="14"/>
      <c r="AU223" s="17"/>
      <c r="AV223" s="17"/>
      <c r="AW223" s="16" t="n">
        <v>0</v>
      </c>
      <c r="AX223" s="14" t="s">
        <v>257</v>
      </c>
      <c r="AY223" s="14" t="s">
        <v>257</v>
      </c>
      <c r="AZ223" s="14" t="s">
        <v>258</v>
      </c>
      <c r="BA223" s="14" t="s">
        <v>259</v>
      </c>
      <c r="BB223" s="14" t="s">
        <v>514</v>
      </c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</row>
    <row r="224" customFormat="false" ht="15" hidden="false" customHeight="false" outlineLevel="0" collapsed="false">
      <c r="C224" s="14" t="s">
        <v>284</v>
      </c>
      <c r="D224" s="14" t="s">
        <v>285</v>
      </c>
      <c r="E224" s="14" t="s">
        <v>270</v>
      </c>
      <c r="F224" s="14" t="s">
        <v>253</v>
      </c>
      <c r="G224" s="29" t="n">
        <v>46143</v>
      </c>
      <c r="H224" s="29" t="n">
        <v>46173</v>
      </c>
      <c r="I224" s="14" t="s">
        <v>254</v>
      </c>
      <c r="J224" s="14" t="s">
        <v>271</v>
      </c>
      <c r="K224" s="14" t="n">
        <v>31</v>
      </c>
      <c r="L224" s="16" t="n">
        <v>92.613735598725</v>
      </c>
      <c r="M224" s="30" t="n">
        <v>27.6901735836919</v>
      </c>
      <c r="N224" s="16" t="n">
        <v>9.98938567028436</v>
      </c>
      <c r="O224" s="16" t="n">
        <v>-9.2930702394357</v>
      </c>
      <c r="P224" s="16" t="n">
        <v>-1.19399331649023</v>
      </c>
      <c r="Q224" s="16" t="n">
        <v>0.954518543172876</v>
      </c>
      <c r="R224" s="16" t="n">
        <v>-3.24148074595538</v>
      </c>
      <c r="S224" s="16" t="n">
        <v>-0.3</v>
      </c>
      <c r="T224" s="16" t="n">
        <v>6.20843015101163</v>
      </c>
      <c r="U224" s="16" t="n">
        <v>25</v>
      </c>
      <c r="V224" s="16" t="n">
        <v>25</v>
      </c>
      <c r="W224" s="16" t="n">
        <v>623.09375</v>
      </c>
      <c r="X224" s="16" t="n">
        <v>0</v>
      </c>
      <c r="Y224" s="16" t="n">
        <v>0</v>
      </c>
      <c r="Z224" s="16" t="n">
        <v>0</v>
      </c>
      <c r="AA224" s="16" t="n">
        <v>0</v>
      </c>
      <c r="AB224" s="16" t="n">
        <v>0</v>
      </c>
      <c r="AC224" s="16" t="n">
        <v>623.09375</v>
      </c>
      <c r="AD224" s="16" t="n">
        <v>108.408326890743</v>
      </c>
      <c r="AE224" s="16" t="n">
        <v>0.729345929325997</v>
      </c>
      <c r="AF224" s="16" t="n">
        <v>0</v>
      </c>
      <c r="AG224" s="16" t="n">
        <v>109.137672820069</v>
      </c>
      <c r="AH224" s="16" t="n">
        <v>4.61685941367096</v>
      </c>
      <c r="AI224" s="16" t="n">
        <v>4.61685941367096</v>
      </c>
      <c r="AJ224" s="16" t="n">
        <v>0.695916666666667</v>
      </c>
      <c r="AK224" s="16" t="n">
        <v>1.20833333333333</v>
      </c>
      <c r="AL224" s="16" t="n">
        <v>0.416666666666667</v>
      </c>
      <c r="AM224" s="16" t="n">
        <v>0</v>
      </c>
      <c r="AN224" s="16" t="n">
        <v>794.850422820069</v>
      </c>
      <c r="AO224" s="16" t="n">
        <v>184.662327179931</v>
      </c>
      <c r="AP224" s="16" t="n">
        <v>109.137672820069</v>
      </c>
      <c r="AQ224" s="14" t="n">
        <v>184.662327179931</v>
      </c>
      <c r="AR224" s="14" t="s">
        <v>256</v>
      </c>
      <c r="AS224" s="29"/>
      <c r="AT224" s="14"/>
      <c r="AU224" s="17"/>
      <c r="AV224" s="17"/>
      <c r="AW224" s="16" t="n">
        <v>0</v>
      </c>
      <c r="AX224" s="14" t="s">
        <v>257</v>
      </c>
      <c r="AY224" s="14" t="s">
        <v>257</v>
      </c>
      <c r="AZ224" s="14" t="s">
        <v>258</v>
      </c>
      <c r="BA224" s="14" t="s">
        <v>259</v>
      </c>
      <c r="BB224" s="14" t="s">
        <v>515</v>
      </c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</row>
    <row r="225" customFormat="false" ht="15" hidden="false" customHeight="false" outlineLevel="0" collapsed="false">
      <c r="C225" s="14" t="s">
        <v>284</v>
      </c>
      <c r="D225" s="14" t="s">
        <v>285</v>
      </c>
      <c r="E225" s="14" t="s">
        <v>277</v>
      </c>
      <c r="F225" s="14" t="s">
        <v>253</v>
      </c>
      <c r="G225" s="29" t="n">
        <v>46174</v>
      </c>
      <c r="H225" s="29" t="n">
        <v>46203</v>
      </c>
      <c r="I225" s="14" t="s">
        <v>254</v>
      </c>
      <c r="J225" s="14" t="s">
        <v>271</v>
      </c>
      <c r="K225" s="14" t="n">
        <v>30</v>
      </c>
      <c r="L225" s="16" t="n">
        <v>138.920603398088</v>
      </c>
      <c r="M225" s="30" t="n">
        <v>27.6901735836919</v>
      </c>
      <c r="N225" s="16" t="n">
        <v>14.9840785054265</v>
      </c>
      <c r="O225" s="16" t="n">
        <v>-9.2930702394357</v>
      </c>
      <c r="P225" s="16" t="n">
        <v>-1.79098997473535</v>
      </c>
      <c r="Q225" s="16" t="n">
        <v>1.43177781475931</v>
      </c>
      <c r="R225" s="16" t="n">
        <v>-4.86222111893306</v>
      </c>
      <c r="S225" s="16" t="n">
        <v>-0.45</v>
      </c>
      <c r="T225" s="16" t="n">
        <v>9.31264522651744</v>
      </c>
      <c r="U225" s="16" t="n">
        <v>25</v>
      </c>
      <c r="V225" s="16" t="n">
        <v>25</v>
      </c>
      <c r="W225" s="16" t="n">
        <v>623.09375</v>
      </c>
      <c r="X225" s="16" t="n">
        <v>0</v>
      </c>
      <c r="Y225" s="16" t="n">
        <v>0</v>
      </c>
      <c r="Z225" s="16" t="n">
        <v>0</v>
      </c>
      <c r="AA225" s="16" t="n">
        <v>0</v>
      </c>
      <c r="AB225" s="16" t="n">
        <v>0</v>
      </c>
      <c r="AC225" s="16" t="n">
        <v>623.09375</v>
      </c>
      <c r="AD225" s="16" t="n">
        <v>109.137672820069</v>
      </c>
      <c r="AE225" s="16" t="n">
        <v>0</v>
      </c>
      <c r="AF225" s="16" t="n">
        <v>2.38007582338637</v>
      </c>
      <c r="AG225" s="16" t="n">
        <v>106.757596996683</v>
      </c>
      <c r="AH225" s="16" t="n">
        <v>4.61165273646441</v>
      </c>
      <c r="AI225" s="16" t="n">
        <v>4.61165273646441</v>
      </c>
      <c r="AJ225" s="16" t="n">
        <v>0.695916666666667</v>
      </c>
      <c r="AK225" s="16" t="n">
        <v>1.20833333333333</v>
      </c>
      <c r="AL225" s="16" t="n">
        <v>0.416666666666667</v>
      </c>
      <c r="AM225" s="16" t="n">
        <v>0</v>
      </c>
      <c r="AN225" s="16" t="n">
        <v>792.470346996683</v>
      </c>
      <c r="AO225" s="16" t="n">
        <v>187.042403003317</v>
      </c>
      <c r="AP225" s="16" t="n">
        <v>106.757596996683</v>
      </c>
      <c r="AQ225" s="14" t="n">
        <v>187.042403003317</v>
      </c>
      <c r="AR225" s="14" t="s">
        <v>256</v>
      </c>
      <c r="AS225" s="29"/>
      <c r="AT225" s="14"/>
      <c r="AU225" s="17"/>
      <c r="AV225" s="17"/>
      <c r="AW225" s="16" t="n">
        <v>0</v>
      </c>
      <c r="AX225" s="14" t="s">
        <v>257</v>
      </c>
      <c r="AY225" s="14" t="s">
        <v>257</v>
      </c>
      <c r="AZ225" s="14" t="s">
        <v>258</v>
      </c>
      <c r="BA225" s="14" t="s">
        <v>259</v>
      </c>
      <c r="BB225" s="14" t="s">
        <v>516</v>
      </c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</row>
    <row r="226" customFormat="false" ht="15" hidden="false" customHeight="false" outlineLevel="0" collapsed="false">
      <c r="C226" s="14" t="s">
        <v>284</v>
      </c>
      <c r="D226" s="14" t="s">
        <v>285</v>
      </c>
      <c r="E226" s="14" t="s">
        <v>282</v>
      </c>
      <c r="F226" s="14" t="s">
        <v>253</v>
      </c>
      <c r="G226" s="29" t="n">
        <v>46204</v>
      </c>
      <c r="H226" s="29" t="n">
        <v>46234</v>
      </c>
      <c r="I226" s="14" t="s">
        <v>254</v>
      </c>
      <c r="J226" s="14" t="s">
        <v>271</v>
      </c>
      <c r="K226" s="14" t="n">
        <v>31</v>
      </c>
      <c r="L226" s="16" t="n">
        <v>231.534338996813</v>
      </c>
      <c r="M226" s="30" t="n">
        <v>27.6901735836919</v>
      </c>
      <c r="N226" s="16" t="n">
        <v>24.9734641757109</v>
      </c>
      <c r="O226" s="16" t="n">
        <v>-9.2930702394357</v>
      </c>
      <c r="P226" s="16" t="n">
        <v>-2.98498329122558</v>
      </c>
      <c r="Q226" s="16" t="n">
        <v>2.38629635793219</v>
      </c>
      <c r="R226" s="16" t="n">
        <v>-8.10370186488844</v>
      </c>
      <c r="S226" s="16" t="n">
        <v>-0.75</v>
      </c>
      <c r="T226" s="16" t="n">
        <v>15.5210753775291</v>
      </c>
      <c r="U226" s="16" t="n">
        <v>25</v>
      </c>
      <c r="V226" s="16" t="n">
        <v>25</v>
      </c>
      <c r="W226" s="16" t="n">
        <v>623.09375</v>
      </c>
      <c r="X226" s="16" t="n">
        <v>11.90625</v>
      </c>
      <c r="Y226" s="16" t="n">
        <v>11.90625</v>
      </c>
      <c r="Z226" s="16" t="n">
        <v>0</v>
      </c>
      <c r="AA226" s="16" t="n">
        <v>0</v>
      </c>
      <c r="AB226" s="16" t="n">
        <v>0</v>
      </c>
      <c r="AC226" s="16" t="n">
        <v>611.1875</v>
      </c>
      <c r="AD226" s="16" t="n">
        <v>106.757596996683</v>
      </c>
      <c r="AE226" s="16" t="n">
        <v>3.28303782136052</v>
      </c>
      <c r="AF226" s="16" t="n">
        <v>0</v>
      </c>
      <c r="AG226" s="16" t="n">
        <v>110.040634818043</v>
      </c>
      <c r="AH226" s="16" t="n">
        <v>4.57694653222293</v>
      </c>
      <c r="AI226" s="16" t="n">
        <v>4.57694653222293</v>
      </c>
      <c r="AJ226" s="16" t="n">
        <v>0.695916666666667</v>
      </c>
      <c r="AK226" s="16" t="n">
        <v>1.20833333333333</v>
      </c>
      <c r="AL226" s="16" t="n">
        <v>0.416666666666667</v>
      </c>
      <c r="AM226" s="16" t="n">
        <v>0</v>
      </c>
      <c r="AN226" s="16" t="n">
        <v>783.847134818043</v>
      </c>
      <c r="AO226" s="16" t="n">
        <v>183.759365181957</v>
      </c>
      <c r="AP226" s="16" t="n">
        <v>110.040634818043</v>
      </c>
      <c r="AQ226" s="14" t="n">
        <v>183.759365181957</v>
      </c>
      <c r="AR226" s="14" t="s">
        <v>256</v>
      </c>
      <c r="AS226" s="29"/>
      <c r="AT226" s="14"/>
      <c r="AU226" s="17"/>
      <c r="AV226" s="17"/>
      <c r="AW226" s="16" t="n">
        <v>0</v>
      </c>
      <c r="AX226" s="14" t="s">
        <v>257</v>
      </c>
      <c r="AY226" s="14" t="s">
        <v>257</v>
      </c>
      <c r="AZ226" s="14" t="s">
        <v>258</v>
      </c>
      <c r="BA226" s="14" t="s">
        <v>259</v>
      </c>
      <c r="BB226" s="14" t="s">
        <v>517</v>
      </c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</row>
    <row r="227" customFormat="false" ht="15" hidden="false" customHeight="false" outlineLevel="0" collapsed="false">
      <c r="C227" s="14" t="s">
        <v>284</v>
      </c>
      <c r="D227" s="14" t="s">
        <v>285</v>
      </c>
      <c r="E227" s="14" t="s">
        <v>287</v>
      </c>
      <c r="F227" s="14" t="s">
        <v>253</v>
      </c>
      <c r="G227" s="29" t="n">
        <v>46235</v>
      </c>
      <c r="H227" s="29" t="n">
        <v>46265</v>
      </c>
      <c r="I227" s="14" t="s">
        <v>254</v>
      </c>
      <c r="J227" s="14" t="s">
        <v>288</v>
      </c>
      <c r="K227" s="14" t="n">
        <v>31</v>
      </c>
      <c r="L227" s="16" t="n">
        <v>91.59891196995</v>
      </c>
      <c r="M227" s="30" t="n">
        <v>27.9159174302794</v>
      </c>
      <c r="N227" s="16" t="n">
        <v>10.0867049542532</v>
      </c>
      <c r="O227" s="16" t="n">
        <v>-9.1912405572414</v>
      </c>
      <c r="P227" s="16" t="n">
        <v>-1.2326047504102</v>
      </c>
      <c r="Q227" s="16" t="n">
        <v>0.942147836813369</v>
      </c>
      <c r="R227" s="16" t="n">
        <v>-3.20596191894825</v>
      </c>
      <c r="S227" s="16" t="n">
        <v>0</v>
      </c>
      <c r="T227" s="16" t="n">
        <v>6.59028612170815</v>
      </c>
      <c r="U227" s="16" t="n">
        <v>25</v>
      </c>
      <c r="V227" s="16" t="n">
        <v>25</v>
      </c>
      <c r="W227" s="16" t="n">
        <v>611.1875</v>
      </c>
      <c r="X227" s="16" t="n">
        <v>0</v>
      </c>
      <c r="Y227" s="16" t="n">
        <v>0</v>
      </c>
      <c r="Z227" s="16" t="n">
        <v>0</v>
      </c>
      <c r="AA227" s="16" t="n">
        <v>0</v>
      </c>
      <c r="AB227" s="16" t="n">
        <v>0</v>
      </c>
      <c r="AC227" s="16" t="n">
        <v>611.1875</v>
      </c>
      <c r="AD227" s="16" t="n">
        <v>110.040634818043</v>
      </c>
      <c r="AE227" s="16" t="n">
        <v>0.281265186043232</v>
      </c>
      <c r="AF227" s="16" t="n">
        <v>0</v>
      </c>
      <c r="AG227" s="16" t="n">
        <v>110.321900004086</v>
      </c>
      <c r="AH227" s="16" t="n">
        <v>4.55063464108471</v>
      </c>
      <c r="AI227" s="16" t="n">
        <v>4.55063464108471</v>
      </c>
      <c r="AJ227" s="16" t="n">
        <v>0.695916666666667</v>
      </c>
      <c r="AK227" s="16" t="n">
        <v>1.20833333333333</v>
      </c>
      <c r="AL227" s="16" t="n">
        <v>0.416666666666667</v>
      </c>
      <c r="AM227" s="16" t="n">
        <v>0</v>
      </c>
      <c r="AN227" s="16" t="n">
        <v>784.128400004086</v>
      </c>
      <c r="AO227" s="16" t="n">
        <v>183.478099995914</v>
      </c>
      <c r="AP227" s="16" t="n">
        <v>110.321900004086</v>
      </c>
      <c r="AQ227" s="14" t="n">
        <v>183.478099995914</v>
      </c>
      <c r="AR227" s="14" t="s">
        <v>256</v>
      </c>
      <c r="AS227" s="29"/>
      <c r="AT227" s="14"/>
      <c r="AU227" s="17"/>
      <c r="AV227" s="17"/>
      <c r="AW227" s="16" t="n">
        <v>0</v>
      </c>
      <c r="AX227" s="14" t="s">
        <v>257</v>
      </c>
      <c r="AY227" s="14" t="s">
        <v>257</v>
      </c>
      <c r="AZ227" s="14" t="s">
        <v>258</v>
      </c>
      <c r="BA227" s="14" t="s">
        <v>259</v>
      </c>
      <c r="BB227" s="14" t="s">
        <v>518</v>
      </c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</row>
    <row r="228" customFormat="false" ht="15" hidden="false" customHeight="false" outlineLevel="0" collapsed="false">
      <c r="C228" s="14" t="s">
        <v>284</v>
      </c>
      <c r="D228" s="14" t="s">
        <v>285</v>
      </c>
      <c r="E228" s="14" t="s">
        <v>293</v>
      </c>
      <c r="F228" s="14" t="s">
        <v>253</v>
      </c>
      <c r="G228" s="29" t="n">
        <v>46266</v>
      </c>
      <c r="H228" s="29" t="n">
        <v>46295</v>
      </c>
      <c r="I228" s="14" t="s">
        <v>254</v>
      </c>
      <c r="J228" s="14" t="s">
        <v>288</v>
      </c>
      <c r="K228" s="14" t="n">
        <v>30</v>
      </c>
      <c r="L228" s="16" t="n">
        <v>137.398367954925</v>
      </c>
      <c r="M228" s="30" t="n">
        <v>27.9159174302794</v>
      </c>
      <c r="N228" s="16" t="n">
        <v>15.1300574313798</v>
      </c>
      <c r="O228" s="16" t="n">
        <v>-9.1912405572414</v>
      </c>
      <c r="P228" s="16" t="n">
        <v>-1.8489071256153</v>
      </c>
      <c r="Q228" s="16" t="n">
        <v>1.41322175522005</v>
      </c>
      <c r="R228" s="16" t="n">
        <v>-4.80894287842238</v>
      </c>
      <c r="S228" s="16" t="n">
        <v>0</v>
      </c>
      <c r="T228" s="16" t="n">
        <v>9.88542918256222</v>
      </c>
      <c r="U228" s="16" t="n">
        <v>25</v>
      </c>
      <c r="V228" s="16" t="n">
        <v>25</v>
      </c>
      <c r="W228" s="16" t="n">
        <v>611.1875</v>
      </c>
      <c r="X228" s="16" t="n">
        <v>0</v>
      </c>
      <c r="Y228" s="16" t="n">
        <v>0</v>
      </c>
      <c r="Z228" s="16" t="n">
        <v>0</v>
      </c>
      <c r="AA228" s="16" t="n">
        <v>0</v>
      </c>
      <c r="AB228" s="16" t="n">
        <v>0</v>
      </c>
      <c r="AC228" s="16" t="n">
        <v>611.1875</v>
      </c>
      <c r="AD228" s="16" t="n">
        <v>110.321900004086</v>
      </c>
      <c r="AE228" s="16" t="n">
        <v>0</v>
      </c>
      <c r="AF228" s="16" t="n">
        <v>3.02252426281446</v>
      </c>
      <c r="AG228" s="16" t="n">
        <v>107.299375741272</v>
      </c>
      <c r="AH228" s="16" t="n">
        <v>4.54198825308109</v>
      </c>
      <c r="AI228" s="16" t="n">
        <v>4.54198825308109</v>
      </c>
      <c r="AJ228" s="16" t="n">
        <v>0.695916666666667</v>
      </c>
      <c r="AK228" s="16" t="n">
        <v>1.20833333333333</v>
      </c>
      <c r="AL228" s="16" t="n">
        <v>0.416666666666667</v>
      </c>
      <c r="AM228" s="16" t="n">
        <v>0</v>
      </c>
      <c r="AN228" s="16" t="n">
        <v>781.105875741272</v>
      </c>
      <c r="AO228" s="16" t="n">
        <v>186.500624258728</v>
      </c>
      <c r="AP228" s="16" t="n">
        <v>107.299375741272</v>
      </c>
      <c r="AQ228" s="14" t="n">
        <v>186.500624258728</v>
      </c>
      <c r="AR228" s="14" t="s">
        <v>256</v>
      </c>
      <c r="AS228" s="29"/>
      <c r="AT228" s="14"/>
      <c r="AU228" s="17"/>
      <c r="AV228" s="17"/>
      <c r="AW228" s="16" t="n">
        <v>0</v>
      </c>
      <c r="AX228" s="14" t="s">
        <v>257</v>
      </c>
      <c r="AY228" s="14" t="s">
        <v>257</v>
      </c>
      <c r="AZ228" s="14" t="s">
        <v>258</v>
      </c>
      <c r="BA228" s="14" t="s">
        <v>259</v>
      </c>
      <c r="BB228" s="14" t="s">
        <v>519</v>
      </c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</row>
    <row r="229" customFormat="false" ht="15" hidden="false" customHeight="false" outlineLevel="0" collapsed="false">
      <c r="C229" s="14" t="s">
        <v>284</v>
      </c>
      <c r="D229" s="14" t="s">
        <v>285</v>
      </c>
      <c r="E229" s="14" t="s">
        <v>297</v>
      </c>
      <c r="F229" s="14" t="s">
        <v>253</v>
      </c>
      <c r="G229" s="29" t="n">
        <v>46296</v>
      </c>
      <c r="H229" s="29" t="n">
        <v>46326</v>
      </c>
      <c r="I229" s="14" t="s">
        <v>254</v>
      </c>
      <c r="J229" s="14" t="s">
        <v>288</v>
      </c>
      <c r="K229" s="14" t="n">
        <v>31</v>
      </c>
      <c r="L229" s="16" t="n">
        <v>228.997279924875</v>
      </c>
      <c r="M229" s="30" t="n">
        <v>27.9159174302794</v>
      </c>
      <c r="N229" s="16" t="n">
        <v>25.2167623856331</v>
      </c>
      <c r="O229" s="16" t="n">
        <v>-9.1912405572414</v>
      </c>
      <c r="P229" s="16" t="n">
        <v>-3.0815118760255</v>
      </c>
      <c r="Q229" s="16" t="n">
        <v>2.35536959203342</v>
      </c>
      <c r="R229" s="16" t="n">
        <v>-8.01490479737062</v>
      </c>
      <c r="S229" s="16" t="n">
        <v>0</v>
      </c>
      <c r="T229" s="16" t="n">
        <v>16.4757153042704</v>
      </c>
      <c r="U229" s="16" t="n">
        <v>25</v>
      </c>
      <c r="V229" s="16" t="n">
        <v>25</v>
      </c>
      <c r="W229" s="16" t="n">
        <v>611.1875</v>
      </c>
      <c r="X229" s="16" t="n">
        <v>11.90625</v>
      </c>
      <c r="Y229" s="16" t="n">
        <v>11.90625</v>
      </c>
      <c r="Z229" s="16" t="n">
        <v>0</v>
      </c>
      <c r="AA229" s="16" t="n">
        <v>0</v>
      </c>
      <c r="AB229" s="16" t="n">
        <v>0</v>
      </c>
      <c r="AC229" s="16" t="n">
        <v>599.28125</v>
      </c>
      <c r="AD229" s="16" t="n">
        <v>107.299375741272</v>
      </c>
      <c r="AE229" s="16" t="n">
        <v>2.25345956035173</v>
      </c>
      <c r="AF229" s="16" t="n">
        <v>0</v>
      </c>
      <c r="AG229" s="16" t="n">
        <v>109.552835301624</v>
      </c>
      <c r="AH229" s="16" t="n">
        <v>4.50200819795543</v>
      </c>
      <c r="AI229" s="16" t="n">
        <v>4.50200819795543</v>
      </c>
      <c r="AJ229" s="16" t="n">
        <v>0.695916666666667</v>
      </c>
      <c r="AK229" s="16" t="n">
        <v>1.20833333333333</v>
      </c>
      <c r="AL229" s="16" t="n">
        <v>0.416666666666667</v>
      </c>
      <c r="AM229" s="16" t="n">
        <v>0</v>
      </c>
      <c r="AN229" s="16" t="n">
        <v>771.453085301624</v>
      </c>
      <c r="AO229" s="16" t="n">
        <v>184.247164698376</v>
      </c>
      <c r="AP229" s="16" t="n">
        <v>109.552835301624</v>
      </c>
      <c r="AQ229" s="14" t="n">
        <v>184.247164698376</v>
      </c>
      <c r="AR229" s="14" t="s">
        <v>372</v>
      </c>
      <c r="AS229" s="29" t="n">
        <v>46327</v>
      </c>
      <c r="AT229" s="14" t="n">
        <v>183.025107508387</v>
      </c>
      <c r="AU229" s="17" t="n">
        <v>4.2150123324816</v>
      </c>
      <c r="AV229" s="17"/>
      <c r="AW229" s="16" t="n">
        <v>0</v>
      </c>
      <c r="AX229" s="14" t="s">
        <v>257</v>
      </c>
      <c r="AY229" s="14" t="s">
        <v>257</v>
      </c>
      <c r="AZ229" s="14" t="s">
        <v>373</v>
      </c>
      <c r="BA229" s="14" t="s">
        <v>259</v>
      </c>
      <c r="BB229" s="14" t="s">
        <v>520</v>
      </c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</row>
    <row r="230" customFormat="false" ht="15" hidden="false" customHeight="false" outlineLevel="0" collapsed="false">
      <c r="C230" s="14" t="s">
        <v>284</v>
      </c>
      <c r="D230" s="14" t="s">
        <v>285</v>
      </c>
      <c r="E230" s="14" t="s">
        <v>301</v>
      </c>
      <c r="F230" s="14" t="s">
        <v>253</v>
      </c>
      <c r="G230" s="29" t="n">
        <v>46327</v>
      </c>
      <c r="H230" s="29" t="n">
        <v>46356</v>
      </c>
      <c r="I230" s="14" t="s">
        <v>302</v>
      </c>
      <c r="J230" s="14" t="s">
        <v>303</v>
      </c>
      <c r="K230" s="14" t="n">
        <v>30</v>
      </c>
      <c r="L230" s="16" t="n">
        <v>74.8044876353551</v>
      </c>
      <c r="M230" s="30" t="n">
        <v>22.9096754759419</v>
      </c>
      <c r="N230" s="16" t="n">
        <v>4.49243996433288</v>
      </c>
      <c r="O230" s="16" t="n">
        <v>-7.50605029941072</v>
      </c>
      <c r="P230" s="16" t="n">
        <v>-0.0703864365908679</v>
      </c>
      <c r="Q230" s="16" t="n">
        <v>0.821762615170887</v>
      </c>
      <c r="R230" s="16" t="n">
        <v>-2.61815706723743</v>
      </c>
      <c r="S230" s="16" t="n">
        <v>0</v>
      </c>
      <c r="T230" s="16" t="n">
        <v>2.62565907567547</v>
      </c>
      <c r="U230" s="16" t="n">
        <v>25</v>
      </c>
      <c r="V230" s="16" t="n">
        <v>20.8598473875644</v>
      </c>
      <c r="W230" s="16" t="n">
        <v>599.28125</v>
      </c>
      <c r="X230" s="16" t="n">
        <v>0</v>
      </c>
      <c r="Y230" s="16" t="n">
        <v>0</v>
      </c>
      <c r="Z230" s="16" t="n">
        <v>0</v>
      </c>
      <c r="AA230" s="16" t="n">
        <v>0</v>
      </c>
      <c r="AB230" s="16" t="n">
        <v>0</v>
      </c>
      <c r="AC230" s="16" t="n">
        <v>599.28125</v>
      </c>
      <c r="AD230" s="16" t="n">
        <v>109.552835301624</v>
      </c>
      <c r="AE230" s="16" t="n">
        <v>0</v>
      </c>
      <c r="AF230" s="16" t="n">
        <v>0</v>
      </c>
      <c r="AG230" s="16" t="n">
        <v>109.552835301624</v>
      </c>
      <c r="AH230" s="16" t="n">
        <v>4.47156168811108</v>
      </c>
      <c r="AI230" s="16" t="n">
        <v>4.47156168811108</v>
      </c>
      <c r="AJ230" s="16" t="n">
        <v>0.66925</v>
      </c>
      <c r="AK230" s="16" t="n">
        <v>1.20833333333333</v>
      </c>
      <c r="AL230" s="16" t="n">
        <v>0.416666666666667</v>
      </c>
      <c r="AM230" s="16" t="n">
        <v>0</v>
      </c>
      <c r="AN230" s="16" t="n">
        <v>771.453085301624</v>
      </c>
      <c r="AO230" s="16" t="n">
        <v>0</v>
      </c>
      <c r="AP230" s="16" t="n">
        <v>109.552835301624</v>
      </c>
      <c r="AQ230" s="14" t="n">
        <v>184.247164698376</v>
      </c>
      <c r="AR230" s="14" t="s">
        <v>521</v>
      </c>
      <c r="AS230" s="29" t="n">
        <v>46327</v>
      </c>
      <c r="AT230" s="14" t="n">
        <v>176.842539568931</v>
      </c>
      <c r="AU230" s="17" t="n">
        <v>4.36237280454187</v>
      </c>
      <c r="AV230" s="17"/>
      <c r="AW230" s="16" t="n">
        <v>0</v>
      </c>
      <c r="AX230" s="14" t="s">
        <v>257</v>
      </c>
      <c r="AY230" s="14" t="s">
        <v>257</v>
      </c>
      <c r="AZ230" s="14" t="s">
        <v>455</v>
      </c>
      <c r="BA230" s="14" t="s">
        <v>259</v>
      </c>
      <c r="BB230" s="14" t="s">
        <v>522</v>
      </c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</row>
    <row r="231" customFormat="false" ht="15" hidden="false" customHeight="false" outlineLevel="0" collapsed="false">
      <c r="C231" s="14" t="s">
        <v>284</v>
      </c>
      <c r="D231" s="14" t="s">
        <v>285</v>
      </c>
      <c r="E231" s="14" t="s">
        <v>305</v>
      </c>
      <c r="F231" s="14" t="s">
        <v>253</v>
      </c>
      <c r="G231" s="29" t="n">
        <v>46357</v>
      </c>
      <c r="H231" s="29" t="n">
        <v>46387</v>
      </c>
      <c r="I231" s="14" t="s">
        <v>302</v>
      </c>
      <c r="J231" s="14" t="s">
        <v>303</v>
      </c>
      <c r="K231" s="14" t="n">
        <v>31</v>
      </c>
      <c r="L231" s="16" t="n">
        <v>112.206731453033</v>
      </c>
      <c r="M231" s="30" t="n">
        <v>22.9096754759419</v>
      </c>
      <c r="N231" s="16" t="n">
        <v>6.73865994649932</v>
      </c>
      <c r="O231" s="16" t="n">
        <v>-7.50605029941072</v>
      </c>
      <c r="P231" s="16" t="n">
        <v>-0.105579654886302</v>
      </c>
      <c r="Q231" s="16" t="n">
        <v>1.23264392275633</v>
      </c>
      <c r="R231" s="16" t="n">
        <v>-3.92723560085615</v>
      </c>
      <c r="S231" s="16" t="n">
        <v>0</v>
      </c>
      <c r="T231" s="16" t="n">
        <v>3.93848861351321</v>
      </c>
      <c r="U231" s="16" t="n">
        <v>20.8598473875644</v>
      </c>
      <c r="V231" s="16" t="n">
        <v>18.0325243129665</v>
      </c>
      <c r="W231" s="16" t="n">
        <v>599.28125</v>
      </c>
      <c r="X231" s="16" t="n">
        <v>0</v>
      </c>
      <c r="Y231" s="16" t="n">
        <v>0</v>
      </c>
      <c r="Z231" s="16" t="n">
        <v>0</v>
      </c>
      <c r="AA231" s="16" t="n">
        <v>0</v>
      </c>
      <c r="AB231" s="16" t="n">
        <v>0</v>
      </c>
      <c r="AC231" s="16" t="n">
        <v>599.28125</v>
      </c>
      <c r="AD231" s="16" t="n">
        <v>109.552835301624</v>
      </c>
      <c r="AE231" s="16" t="n">
        <v>0</v>
      </c>
      <c r="AF231" s="16" t="n">
        <v>0</v>
      </c>
      <c r="AG231" s="16" t="n">
        <v>109.552835301624</v>
      </c>
      <c r="AH231" s="16" t="n">
        <v>4.47156168811108</v>
      </c>
      <c r="AI231" s="16" t="n">
        <v>4.47156168811108</v>
      </c>
      <c r="AJ231" s="16" t="n">
        <v>0.66925</v>
      </c>
      <c r="AK231" s="16" t="n">
        <v>1.20833333333333</v>
      </c>
      <c r="AL231" s="16" t="n">
        <v>0.416666666666667</v>
      </c>
      <c r="AM231" s="16" t="n">
        <v>0</v>
      </c>
      <c r="AN231" s="16" t="n">
        <v>771.453085301624</v>
      </c>
      <c r="AO231" s="16" t="n">
        <v>0</v>
      </c>
      <c r="AP231" s="16" t="n">
        <v>109.552835301624</v>
      </c>
      <c r="AQ231" s="14" t="n">
        <v>184.247164698376</v>
      </c>
      <c r="AR231" s="14" t="s">
        <v>521</v>
      </c>
      <c r="AS231" s="29" t="n">
        <v>46327</v>
      </c>
      <c r="AT231" s="14" t="n">
        <v>172.906191611641</v>
      </c>
      <c r="AU231" s="17" t="n">
        <v>4.46168571588437</v>
      </c>
      <c r="AV231" s="17"/>
      <c r="AW231" s="16" t="n">
        <v>0</v>
      </c>
      <c r="AX231" s="14" t="s">
        <v>257</v>
      </c>
      <c r="AY231" s="14" t="s">
        <v>257</v>
      </c>
      <c r="AZ231" s="14" t="s">
        <v>455</v>
      </c>
      <c r="BA231" s="14" t="s">
        <v>259</v>
      </c>
      <c r="BB231" s="14" t="s">
        <v>523</v>
      </c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</row>
    <row r="232" customFormat="false" ht="15" hidden="false" customHeight="false" outlineLevel="0" collapsed="false">
      <c r="C232" s="14" t="s">
        <v>284</v>
      </c>
      <c r="D232" s="14" t="s">
        <v>285</v>
      </c>
      <c r="E232" s="14" t="s">
        <v>307</v>
      </c>
      <c r="F232" s="14" t="s">
        <v>253</v>
      </c>
      <c r="G232" s="29" t="n">
        <v>46388</v>
      </c>
      <c r="H232" s="29" t="n">
        <v>46418</v>
      </c>
      <c r="I232" s="14" t="s">
        <v>302</v>
      </c>
      <c r="J232" s="14" t="s">
        <v>303</v>
      </c>
      <c r="K232" s="14" t="n">
        <v>31</v>
      </c>
      <c r="L232" s="16" t="n">
        <v>187.011219088388</v>
      </c>
      <c r="M232" s="30" t="n">
        <v>22.9096754759419</v>
      </c>
      <c r="N232" s="16" t="n">
        <v>11.2310999108322</v>
      </c>
      <c r="O232" s="16" t="n">
        <v>-7.50605029941072</v>
      </c>
      <c r="P232" s="16" t="n">
        <v>-0.17596609147717</v>
      </c>
      <c r="Q232" s="16" t="n">
        <v>2.05440653792722</v>
      </c>
      <c r="R232" s="16" t="n">
        <v>-6.54539266809358</v>
      </c>
      <c r="S232" s="16" t="n">
        <v>0</v>
      </c>
      <c r="T232" s="16" t="n">
        <v>6.56414768918868</v>
      </c>
      <c r="U232" s="16" t="n">
        <v>18.0325243129665</v>
      </c>
      <c r="V232" s="16" t="n">
        <v>5.96216461091914</v>
      </c>
      <c r="W232" s="16" t="n">
        <v>599.28125</v>
      </c>
      <c r="X232" s="16" t="n">
        <v>11.90625</v>
      </c>
      <c r="Y232" s="16" t="n">
        <v>11.90625</v>
      </c>
      <c r="Z232" s="16" t="n">
        <v>0</v>
      </c>
      <c r="AA232" s="16" t="n">
        <v>0</v>
      </c>
      <c r="AB232" s="16" t="n">
        <v>0</v>
      </c>
      <c r="AC232" s="16" t="n">
        <v>587.375</v>
      </c>
      <c r="AD232" s="16" t="n">
        <v>109.552835301624</v>
      </c>
      <c r="AE232" s="16" t="n">
        <v>0</v>
      </c>
      <c r="AF232" s="16" t="n">
        <v>0</v>
      </c>
      <c r="AG232" s="16" t="n">
        <v>109.552835301624</v>
      </c>
      <c r="AH232" s="16" t="n">
        <v>4.43400739123608</v>
      </c>
      <c r="AI232" s="16" t="n">
        <v>4.43400739123608</v>
      </c>
      <c r="AJ232" s="16" t="n">
        <v>0.66925</v>
      </c>
      <c r="AK232" s="16" t="n">
        <v>1.20833333333333</v>
      </c>
      <c r="AL232" s="16" t="n">
        <v>0.416666666666667</v>
      </c>
      <c r="AM232" s="16" t="n">
        <v>0</v>
      </c>
      <c r="AN232" s="16" t="n">
        <v>759.546835301624</v>
      </c>
      <c r="AO232" s="16" t="n">
        <v>0</v>
      </c>
      <c r="AP232" s="16" t="n">
        <v>109.552835301624</v>
      </c>
      <c r="AQ232" s="14" t="n">
        <v>184.247164698376</v>
      </c>
      <c r="AR232" s="14" t="s">
        <v>521</v>
      </c>
      <c r="AS232" s="29" t="n">
        <v>46327</v>
      </c>
      <c r="AT232" s="14" t="n">
        <v>173.462283618684</v>
      </c>
      <c r="AU232" s="17" t="n">
        <v>4.37874343319099</v>
      </c>
      <c r="AV232" s="17" t="n">
        <v>3.21817149329233</v>
      </c>
      <c r="AW232" s="16" t="n">
        <v>0</v>
      </c>
      <c r="AX232" s="14" t="s">
        <v>257</v>
      </c>
      <c r="AY232" s="14" t="s">
        <v>257</v>
      </c>
      <c r="AZ232" s="14" t="s">
        <v>455</v>
      </c>
      <c r="BA232" s="14" t="s">
        <v>259</v>
      </c>
      <c r="BB232" s="14" t="s">
        <v>524</v>
      </c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</row>
    <row r="233" customFormat="false" ht="15" hidden="false" customHeight="false" outlineLevel="0" collapsed="false">
      <c r="C233" s="14" t="s">
        <v>284</v>
      </c>
      <c r="D233" s="14" t="s">
        <v>285</v>
      </c>
      <c r="E233" s="14" t="s">
        <v>309</v>
      </c>
      <c r="F233" s="14" t="s">
        <v>253</v>
      </c>
      <c r="G233" s="29" t="n">
        <v>46419</v>
      </c>
      <c r="H233" s="29" t="n">
        <v>46446</v>
      </c>
      <c r="I233" s="14" t="s">
        <v>302</v>
      </c>
      <c r="J233" s="14" t="s">
        <v>255</v>
      </c>
      <c r="K233" s="14" t="n">
        <v>28</v>
      </c>
      <c r="L233" s="16" t="n">
        <v>86.0796353568275</v>
      </c>
      <c r="M233" s="30" t="n">
        <v>28.8693217195837</v>
      </c>
      <c r="N233" s="16" t="n">
        <v>10.7300174026377</v>
      </c>
      <c r="O233" s="16" t="n">
        <v>-8.48987268244684</v>
      </c>
      <c r="P233" s="16" t="n">
        <v>-1.4711056422828</v>
      </c>
      <c r="Q233" s="16" t="n">
        <v>3.48264964411667</v>
      </c>
      <c r="R233" s="16" t="n">
        <v>-3.01278723748896</v>
      </c>
      <c r="S233" s="16" t="n">
        <v>0</v>
      </c>
      <c r="T233" s="16" t="n">
        <v>9.72877416698264</v>
      </c>
      <c r="U233" s="16" t="n">
        <v>5.96216461091914</v>
      </c>
      <c r="V233" s="16" t="n">
        <v>9.14542898256188</v>
      </c>
      <c r="W233" s="16" t="n">
        <v>587.375</v>
      </c>
      <c r="X233" s="16" t="n">
        <v>0</v>
      </c>
      <c r="Y233" s="16" t="n">
        <v>0</v>
      </c>
      <c r="Z233" s="16" t="n">
        <v>0</v>
      </c>
      <c r="AA233" s="16" t="n">
        <v>0</v>
      </c>
      <c r="AB233" s="16" t="n">
        <v>0</v>
      </c>
      <c r="AC233" s="16" t="n">
        <v>587.375</v>
      </c>
      <c r="AD233" s="16" t="n">
        <v>109.552835301624</v>
      </c>
      <c r="AE233" s="16" t="n">
        <v>0</v>
      </c>
      <c r="AF233" s="16" t="n">
        <v>0</v>
      </c>
      <c r="AG233" s="16" t="n">
        <v>109.552835301624</v>
      </c>
      <c r="AH233" s="16" t="n">
        <v>4.2512597953399</v>
      </c>
      <c r="AI233" s="16" t="n">
        <v>4.2512597953399</v>
      </c>
      <c r="AJ233" s="16" t="n">
        <v>0.66925</v>
      </c>
      <c r="AK233" s="16" t="n">
        <v>1.20833333333333</v>
      </c>
      <c r="AL233" s="16" t="n">
        <v>0.416666666666667</v>
      </c>
      <c r="AM233" s="16" t="n">
        <v>0</v>
      </c>
      <c r="AN233" s="16" t="n">
        <v>759.546835301624</v>
      </c>
      <c r="AO233" s="16" t="n">
        <v>0</v>
      </c>
      <c r="AP233" s="16" t="n">
        <v>109.552835301624</v>
      </c>
      <c r="AQ233" s="14" t="n">
        <v>184.247164698376</v>
      </c>
      <c r="AR233" s="14" t="s">
        <v>521</v>
      </c>
      <c r="AS233" s="29" t="n">
        <v>46327</v>
      </c>
      <c r="AT233" s="14" t="n">
        <v>174.068374886455</v>
      </c>
      <c r="AU233" s="17" t="n">
        <v>4.36349702119685</v>
      </c>
      <c r="AV233" s="17" t="n">
        <v>3.22900808120479</v>
      </c>
      <c r="AW233" s="16" t="n">
        <v>0</v>
      </c>
      <c r="AX233" s="14" t="s">
        <v>257</v>
      </c>
      <c r="AY233" s="14" t="s">
        <v>257</v>
      </c>
      <c r="AZ233" s="14" t="s">
        <v>455</v>
      </c>
      <c r="BA233" s="14" t="s">
        <v>259</v>
      </c>
      <c r="BB233" s="14" t="s">
        <v>525</v>
      </c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</row>
    <row r="234" customFormat="false" ht="15" hidden="false" customHeight="false" outlineLevel="0" collapsed="false">
      <c r="C234" s="14" t="s">
        <v>284</v>
      </c>
      <c r="D234" s="14" t="s">
        <v>285</v>
      </c>
      <c r="E234" s="14" t="s">
        <v>311</v>
      </c>
      <c r="F234" s="14" t="s">
        <v>253</v>
      </c>
      <c r="G234" s="29" t="n">
        <v>46447</v>
      </c>
      <c r="H234" s="29" t="n">
        <v>46477</v>
      </c>
      <c r="I234" s="14" t="s">
        <v>302</v>
      </c>
      <c r="J234" s="14" t="s">
        <v>255</v>
      </c>
      <c r="K234" s="14" t="n">
        <v>31</v>
      </c>
      <c r="L234" s="16" t="n">
        <v>129.119453035241</v>
      </c>
      <c r="M234" s="30" t="n">
        <v>28.8693217195837</v>
      </c>
      <c r="N234" s="16" t="n">
        <v>16.0950261039566</v>
      </c>
      <c r="O234" s="16" t="n">
        <v>-8.48987268244684</v>
      </c>
      <c r="P234" s="16" t="n">
        <v>-2.2066584634242</v>
      </c>
      <c r="Q234" s="16" t="n">
        <v>5.22397446617501</v>
      </c>
      <c r="R234" s="16" t="n">
        <v>-4.51918085623344</v>
      </c>
      <c r="S234" s="16" t="n">
        <v>0</v>
      </c>
      <c r="T234" s="16" t="n">
        <v>14.593161250474</v>
      </c>
      <c r="U234" s="16" t="n">
        <v>9.14542898256188</v>
      </c>
      <c r="V234" s="16" t="n">
        <v>17.1930804376959</v>
      </c>
      <c r="W234" s="16" t="n">
        <v>587.375</v>
      </c>
      <c r="X234" s="16" t="n">
        <v>0</v>
      </c>
      <c r="Y234" s="16" t="n">
        <v>0</v>
      </c>
      <c r="Z234" s="16" t="n">
        <v>0</v>
      </c>
      <c r="AA234" s="16" t="n">
        <v>0</v>
      </c>
      <c r="AB234" s="16" t="n">
        <v>0</v>
      </c>
      <c r="AC234" s="16" t="n">
        <v>587.375</v>
      </c>
      <c r="AD234" s="16" t="n">
        <v>109.552835301624</v>
      </c>
      <c r="AE234" s="16" t="n">
        <v>0</v>
      </c>
      <c r="AF234" s="16" t="n">
        <v>0</v>
      </c>
      <c r="AG234" s="16" t="n">
        <v>109.552835301624</v>
      </c>
      <c r="AH234" s="16" t="n">
        <v>4.2512597953399</v>
      </c>
      <c r="AI234" s="16" t="n">
        <v>4.2512597953399</v>
      </c>
      <c r="AJ234" s="16" t="n">
        <v>0.66925</v>
      </c>
      <c r="AK234" s="16" t="n">
        <v>1.20833333333333</v>
      </c>
      <c r="AL234" s="16" t="n">
        <v>0.416666666666667</v>
      </c>
      <c r="AM234" s="16" t="n">
        <v>0</v>
      </c>
      <c r="AN234" s="16" t="n">
        <v>759.546835301624</v>
      </c>
      <c r="AO234" s="16" t="n">
        <v>0</v>
      </c>
      <c r="AP234" s="16" t="n">
        <v>109.552835301624</v>
      </c>
      <c r="AQ234" s="14" t="n">
        <v>184.247164698376</v>
      </c>
      <c r="AR234" s="14" t="s">
        <v>521</v>
      </c>
      <c r="AS234" s="29" t="n">
        <v>46327</v>
      </c>
      <c r="AT234" s="14" t="n">
        <v>174.977511788112</v>
      </c>
      <c r="AU234" s="17" t="n">
        <v>4.34082544402272</v>
      </c>
      <c r="AV234" s="17" t="n">
        <v>3.25240878603198</v>
      </c>
      <c r="AW234" s="16" t="n">
        <v>0</v>
      </c>
      <c r="AX234" s="14" t="s">
        <v>257</v>
      </c>
      <c r="AY234" s="14" t="s">
        <v>257</v>
      </c>
      <c r="AZ234" s="14" t="s">
        <v>455</v>
      </c>
      <c r="BA234" s="14" t="s">
        <v>259</v>
      </c>
      <c r="BB234" s="14" t="s">
        <v>526</v>
      </c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</row>
    <row r="235" customFormat="false" ht="15" hidden="false" customHeight="false" outlineLevel="0" collapsed="false">
      <c r="C235" s="14" t="s">
        <v>284</v>
      </c>
      <c r="D235" s="14" t="s">
        <v>285</v>
      </c>
      <c r="E235" s="14" t="s">
        <v>313</v>
      </c>
      <c r="F235" s="14" t="s">
        <v>253</v>
      </c>
      <c r="G235" s="29" t="n">
        <v>46478</v>
      </c>
      <c r="H235" s="29" t="n">
        <v>46507</v>
      </c>
      <c r="I235" s="14" t="s">
        <v>302</v>
      </c>
      <c r="J235" s="14" t="s">
        <v>255</v>
      </c>
      <c r="K235" s="14" t="n">
        <v>30</v>
      </c>
      <c r="L235" s="16" t="n">
        <v>215.199088392069</v>
      </c>
      <c r="M235" s="30" t="n">
        <v>28.8693217195837</v>
      </c>
      <c r="N235" s="16" t="n">
        <v>26.8250435065943</v>
      </c>
      <c r="O235" s="16" t="n">
        <v>-8.48987268244684</v>
      </c>
      <c r="P235" s="16" t="n">
        <v>-3.677764105707</v>
      </c>
      <c r="Q235" s="16" t="n">
        <v>8.70662411029168</v>
      </c>
      <c r="R235" s="16" t="n">
        <v>-7.5319680937224</v>
      </c>
      <c r="S235" s="16" t="n">
        <v>0</v>
      </c>
      <c r="T235" s="16" t="n">
        <v>24.3219354174566</v>
      </c>
      <c r="U235" s="16" t="n">
        <v>17.1930804376959</v>
      </c>
      <c r="V235" s="16" t="n">
        <v>23.0995701223126</v>
      </c>
      <c r="W235" s="16" t="n">
        <v>587.375</v>
      </c>
      <c r="X235" s="16" t="n">
        <v>11.90625</v>
      </c>
      <c r="Y235" s="16" t="n">
        <v>11.90625</v>
      </c>
      <c r="Z235" s="16" t="n">
        <v>0</v>
      </c>
      <c r="AA235" s="16" t="n">
        <v>0</v>
      </c>
      <c r="AB235" s="16" t="n">
        <v>0</v>
      </c>
      <c r="AC235" s="16" t="n">
        <v>575.46875</v>
      </c>
      <c r="AD235" s="16" t="n">
        <v>109.552835301624</v>
      </c>
      <c r="AE235" s="16" t="n">
        <v>0</v>
      </c>
      <c r="AF235" s="16" t="n">
        <v>0</v>
      </c>
      <c r="AG235" s="16" t="n">
        <v>109.552835301624</v>
      </c>
      <c r="AH235" s="16" t="n">
        <v>4.2149457328399</v>
      </c>
      <c r="AI235" s="16" t="n">
        <v>4.2149457328399</v>
      </c>
      <c r="AJ235" s="16" t="n">
        <v>0.66925</v>
      </c>
      <c r="AK235" s="16" t="n">
        <v>1.20833333333333</v>
      </c>
      <c r="AL235" s="16" t="n">
        <v>0.416666666666667</v>
      </c>
      <c r="AM235" s="16" t="n">
        <v>0</v>
      </c>
      <c r="AN235" s="16" t="n">
        <v>747.640585301624</v>
      </c>
      <c r="AO235" s="16" t="n">
        <v>0</v>
      </c>
      <c r="AP235" s="16" t="n">
        <v>109.552835301624</v>
      </c>
      <c r="AQ235" s="14" t="n">
        <v>184.247164698376</v>
      </c>
      <c r="AR235" s="14" t="s">
        <v>521</v>
      </c>
      <c r="AS235" s="29" t="n">
        <v>46327</v>
      </c>
      <c r="AT235" s="14" t="n">
        <v>176.492739957541</v>
      </c>
      <c r="AU235" s="17" t="n">
        <v>4.2360982411032</v>
      </c>
      <c r="AV235" s="17" t="n">
        <v>3.29925743281177</v>
      </c>
      <c r="AW235" s="16" t="n">
        <v>0</v>
      </c>
      <c r="AX235" s="14" t="s">
        <v>257</v>
      </c>
      <c r="AY235" s="14" t="s">
        <v>257</v>
      </c>
      <c r="AZ235" s="14" t="s">
        <v>455</v>
      </c>
      <c r="BA235" s="14" t="s">
        <v>259</v>
      </c>
      <c r="BB235" s="14" t="s">
        <v>527</v>
      </c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</row>
    <row r="236" customFormat="false" ht="15" hidden="false" customHeight="false" outlineLevel="0" collapsed="false">
      <c r="C236" s="14" t="s">
        <v>284</v>
      </c>
      <c r="D236" s="14" t="s">
        <v>285</v>
      </c>
      <c r="E236" s="14" t="s">
        <v>315</v>
      </c>
      <c r="F236" s="14" t="s">
        <v>253</v>
      </c>
      <c r="G236" s="29" t="n">
        <v>46508</v>
      </c>
      <c r="H236" s="29" t="n">
        <v>46538</v>
      </c>
      <c r="I236" s="14" t="s">
        <v>302</v>
      </c>
      <c r="J236" s="14" t="s">
        <v>271</v>
      </c>
      <c r="K236" s="14" t="n">
        <v>31</v>
      </c>
      <c r="L236" s="16" t="n">
        <v>95.8305337936221</v>
      </c>
      <c r="M236" s="30" t="n">
        <v>27.6901735836919</v>
      </c>
      <c r="N236" s="16" t="n">
        <v>11.2946572285611</v>
      </c>
      <c r="O236" s="16" t="n">
        <v>-9.29283791267971</v>
      </c>
      <c r="P236" s="16" t="n">
        <v>-1.47504120506262</v>
      </c>
      <c r="Q236" s="16" t="n">
        <v>3.26723358675642</v>
      </c>
      <c r="R236" s="16" t="n">
        <v>-3.35406868277677</v>
      </c>
      <c r="S236" s="16" t="n">
        <v>0</v>
      </c>
      <c r="T236" s="16" t="n">
        <v>9.73278092747808</v>
      </c>
      <c r="U236" s="16" t="n">
        <v>23.0995701223126</v>
      </c>
      <c r="V236" s="16" t="n">
        <v>25</v>
      </c>
      <c r="W236" s="16" t="n">
        <v>575.46875</v>
      </c>
      <c r="X236" s="16" t="n">
        <v>0</v>
      </c>
      <c r="Y236" s="16" t="n">
        <v>0</v>
      </c>
      <c r="Z236" s="16" t="n">
        <v>0</v>
      </c>
      <c r="AA236" s="16" t="n">
        <v>0</v>
      </c>
      <c r="AB236" s="16" t="n">
        <v>0</v>
      </c>
      <c r="AC236" s="16" t="n">
        <v>575.46875</v>
      </c>
      <c r="AD236" s="16" t="n">
        <v>109.552835301624</v>
      </c>
      <c r="AE236" s="16" t="n">
        <v>0</v>
      </c>
      <c r="AF236" s="16" t="n">
        <v>1.50662046250078</v>
      </c>
      <c r="AG236" s="16" t="n">
        <v>108.046214839123</v>
      </c>
      <c r="AH236" s="16" t="n">
        <v>4.03148058728995</v>
      </c>
      <c r="AI236" s="16" t="n">
        <v>4.03148058728995</v>
      </c>
      <c r="AJ236" s="16" t="n">
        <v>0.66925</v>
      </c>
      <c r="AK236" s="16" t="n">
        <v>1.20833333333333</v>
      </c>
      <c r="AL236" s="16" t="n">
        <v>0.416666666666667</v>
      </c>
      <c r="AM236" s="16" t="n">
        <v>0</v>
      </c>
      <c r="AN236" s="16" t="n">
        <v>746.133964839123</v>
      </c>
      <c r="AO236" s="16" t="n">
        <v>0</v>
      </c>
      <c r="AP236" s="16" t="n">
        <v>108.046214839123</v>
      </c>
      <c r="AQ236" s="14" t="n">
        <v>185.753785160877</v>
      </c>
      <c r="AR236" s="14" t="s">
        <v>521</v>
      </c>
      <c r="AS236" s="29" t="n">
        <v>46327</v>
      </c>
      <c r="AT236" s="14" t="n">
        <v>177.798011515818</v>
      </c>
      <c r="AU236" s="17" t="n">
        <v>4.19652592555988</v>
      </c>
      <c r="AV236" s="17" t="n">
        <v>3.36042978949817</v>
      </c>
      <c r="AW236" s="16" t="n">
        <v>0</v>
      </c>
      <c r="AX236" s="14" t="s">
        <v>257</v>
      </c>
      <c r="AY236" s="14" t="s">
        <v>257</v>
      </c>
      <c r="AZ236" s="14" t="s">
        <v>373</v>
      </c>
      <c r="BA236" s="14" t="s">
        <v>259</v>
      </c>
      <c r="BB236" s="14" t="s">
        <v>528</v>
      </c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</row>
    <row r="237" customFormat="false" ht="15" hidden="false" customHeight="false" outlineLevel="0" collapsed="false">
      <c r="C237" s="14" t="s">
        <v>284</v>
      </c>
      <c r="D237" s="14" t="s">
        <v>285</v>
      </c>
      <c r="E237" s="14" t="s">
        <v>317</v>
      </c>
      <c r="F237" s="14" t="s">
        <v>253</v>
      </c>
      <c r="G237" s="29" t="n">
        <v>46539</v>
      </c>
      <c r="H237" s="29" t="n">
        <v>46568</v>
      </c>
      <c r="I237" s="14" t="s">
        <v>302</v>
      </c>
      <c r="J237" s="14" t="s">
        <v>271</v>
      </c>
      <c r="K237" s="14" t="n">
        <v>30</v>
      </c>
      <c r="L237" s="16" t="n">
        <v>143.745800690433</v>
      </c>
      <c r="M237" s="30" t="n">
        <v>27.6901735836919</v>
      </c>
      <c r="N237" s="16" t="n">
        <v>16.9419858428416</v>
      </c>
      <c r="O237" s="16" t="n">
        <v>-9.29283791267971</v>
      </c>
      <c r="P237" s="16" t="n">
        <v>-2.21256180759393</v>
      </c>
      <c r="Q237" s="16" t="n">
        <v>4.90085038013463</v>
      </c>
      <c r="R237" s="16" t="n">
        <v>-5.03110302416516</v>
      </c>
      <c r="S237" s="16" t="n">
        <v>0</v>
      </c>
      <c r="T237" s="16" t="n">
        <v>14.5991713912171</v>
      </c>
      <c r="U237" s="16" t="n">
        <v>25</v>
      </c>
      <c r="V237" s="16" t="n">
        <v>25</v>
      </c>
      <c r="W237" s="16" t="n">
        <v>575.46875</v>
      </c>
      <c r="X237" s="16" t="n">
        <v>0</v>
      </c>
      <c r="Y237" s="16" t="n">
        <v>0</v>
      </c>
      <c r="Z237" s="16" t="n">
        <v>0</v>
      </c>
      <c r="AA237" s="16" t="n">
        <v>0</v>
      </c>
      <c r="AB237" s="16" t="n">
        <v>0</v>
      </c>
      <c r="AC237" s="16" t="n">
        <v>575.46875</v>
      </c>
      <c r="AD237" s="16" t="n">
        <v>108.046214839123</v>
      </c>
      <c r="AE237" s="16" t="n">
        <v>0</v>
      </c>
      <c r="AF237" s="16" t="n">
        <v>8.3023363558865</v>
      </c>
      <c r="AG237" s="16" t="n">
        <v>99.7438784832363</v>
      </c>
      <c r="AH237" s="16" t="n">
        <v>4.00258503533062</v>
      </c>
      <c r="AI237" s="16" t="n">
        <v>4.00258503533062</v>
      </c>
      <c r="AJ237" s="16" t="n">
        <v>0.66925</v>
      </c>
      <c r="AK237" s="16" t="n">
        <v>1.20833333333333</v>
      </c>
      <c r="AL237" s="16" t="n">
        <v>0.416666666666667</v>
      </c>
      <c r="AM237" s="16" t="n">
        <v>0</v>
      </c>
      <c r="AN237" s="16" t="n">
        <v>737.831628483236</v>
      </c>
      <c r="AO237" s="16" t="n">
        <v>0</v>
      </c>
      <c r="AP237" s="16" t="n">
        <v>99.7438784832363</v>
      </c>
      <c r="AQ237" s="14" t="n">
        <v>194.056121516764</v>
      </c>
      <c r="AR237" s="14" t="s">
        <v>521</v>
      </c>
      <c r="AS237" s="29" t="n">
        <v>46327</v>
      </c>
      <c r="AT237" s="14" t="n">
        <v>179.755918853233</v>
      </c>
      <c r="AU237" s="17" t="n">
        <v>4.10463050780354</v>
      </c>
      <c r="AV237" s="17" t="n">
        <v>3.43699992827421</v>
      </c>
      <c r="AW237" s="16" t="n">
        <v>0</v>
      </c>
      <c r="AX237" s="14" t="s">
        <v>257</v>
      </c>
      <c r="AY237" s="14" t="s">
        <v>257</v>
      </c>
      <c r="AZ237" s="14" t="s">
        <v>373</v>
      </c>
      <c r="BA237" s="14" t="s">
        <v>259</v>
      </c>
      <c r="BB237" s="14" t="s">
        <v>529</v>
      </c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</row>
    <row r="238" customFormat="false" ht="15" hidden="false" customHeight="false" outlineLevel="0" collapsed="false">
      <c r="C238" s="14" t="s">
        <v>284</v>
      </c>
      <c r="D238" s="14" t="s">
        <v>285</v>
      </c>
      <c r="E238" s="14" t="s">
        <v>319</v>
      </c>
      <c r="F238" s="14" t="s">
        <v>253</v>
      </c>
      <c r="G238" s="29" t="n">
        <v>46569</v>
      </c>
      <c r="H238" s="29" t="n">
        <v>46599</v>
      </c>
      <c r="I238" s="14" t="s">
        <v>302</v>
      </c>
      <c r="J238" s="14" t="s">
        <v>271</v>
      </c>
      <c r="K238" s="14" t="n">
        <v>31</v>
      </c>
      <c r="L238" s="16" t="n">
        <v>239.576334484055</v>
      </c>
      <c r="M238" s="30" t="n">
        <v>27.6901735836919</v>
      </c>
      <c r="N238" s="16" t="n">
        <v>28.2366430714026</v>
      </c>
      <c r="O238" s="16" t="n">
        <v>-9.29283791267971</v>
      </c>
      <c r="P238" s="16" t="n">
        <v>-3.68760301265655</v>
      </c>
      <c r="Q238" s="16" t="n">
        <v>8.16808396689105</v>
      </c>
      <c r="R238" s="16" t="n">
        <v>-8.38517170694193</v>
      </c>
      <c r="S238" s="16" t="n">
        <v>0</v>
      </c>
      <c r="T238" s="16" t="n">
        <v>24.3319523186952</v>
      </c>
      <c r="U238" s="16" t="n">
        <v>25</v>
      </c>
      <c r="V238" s="16" t="n">
        <v>25</v>
      </c>
      <c r="W238" s="16" t="n">
        <v>575.46875</v>
      </c>
      <c r="X238" s="16" t="n">
        <v>11.90625</v>
      </c>
      <c r="Y238" s="16" t="n">
        <v>11.90625</v>
      </c>
      <c r="Z238" s="16" t="n">
        <v>0</v>
      </c>
      <c r="AA238" s="16" t="n">
        <v>0</v>
      </c>
      <c r="AB238" s="16" t="n">
        <v>0</v>
      </c>
      <c r="AC238" s="16" t="n">
        <v>563.5625</v>
      </c>
      <c r="AD238" s="16" t="n">
        <v>99.7438784832363</v>
      </c>
      <c r="AE238" s="16" t="n">
        <v>0</v>
      </c>
      <c r="AF238" s="16" t="n">
        <v>6.20668226216907</v>
      </c>
      <c r="AG238" s="16" t="n">
        <v>93.5371962210673</v>
      </c>
      <c r="AH238" s="16" t="n">
        <v>3.92477005652613</v>
      </c>
      <c r="AI238" s="16" t="n">
        <v>3.92477005652613</v>
      </c>
      <c r="AJ238" s="16" t="n">
        <v>0.66925</v>
      </c>
      <c r="AK238" s="16" t="n">
        <v>1.20833333333333</v>
      </c>
      <c r="AL238" s="16" t="n">
        <v>0.416666666666667</v>
      </c>
      <c r="AM238" s="16" t="n">
        <v>0</v>
      </c>
      <c r="AN238" s="16" t="n">
        <v>719.718696221067</v>
      </c>
      <c r="AO238" s="16" t="n">
        <v>0</v>
      </c>
      <c r="AP238" s="16" t="n">
        <v>93.5371962210673</v>
      </c>
      <c r="AQ238" s="14" t="n">
        <v>200.262803778933</v>
      </c>
      <c r="AR238" s="14" t="s">
        <v>521</v>
      </c>
      <c r="AS238" s="29" t="n">
        <v>46327</v>
      </c>
      <c r="AT238" s="14" t="n">
        <v>183.019097748925</v>
      </c>
      <c r="AU238" s="17" t="n">
        <v>3.93247865973209</v>
      </c>
      <c r="AV238" s="17" t="n">
        <v>3.54358106783341</v>
      </c>
      <c r="AW238" s="16" t="n">
        <v>0</v>
      </c>
      <c r="AX238" s="14" t="s">
        <v>257</v>
      </c>
      <c r="AY238" s="14" t="s">
        <v>257</v>
      </c>
      <c r="AZ238" s="14" t="s">
        <v>373</v>
      </c>
      <c r="BA238" s="14" t="s">
        <v>259</v>
      </c>
      <c r="BB238" s="14" t="s">
        <v>530</v>
      </c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</row>
    <row r="239" customFormat="false" ht="15" hidden="false" customHeight="false" outlineLevel="0" collapsed="false">
      <c r="C239" s="14" t="s">
        <v>284</v>
      </c>
      <c r="D239" s="14" t="s">
        <v>285</v>
      </c>
      <c r="E239" s="14" t="s">
        <v>321</v>
      </c>
      <c r="F239" s="14" t="s">
        <v>253</v>
      </c>
      <c r="G239" s="29" t="n">
        <v>46600</v>
      </c>
      <c r="H239" s="29" t="n">
        <v>46630</v>
      </c>
      <c r="I239" s="14" t="s">
        <v>302</v>
      </c>
      <c r="J239" s="14" t="s">
        <v>288</v>
      </c>
      <c r="K239" s="14" t="n">
        <v>31</v>
      </c>
      <c r="L239" s="16" t="n">
        <v>96.3723817002108</v>
      </c>
      <c r="M239" s="30" t="n">
        <v>27.9159174302794</v>
      </c>
      <c r="N239" s="16" t="n">
        <v>12.0579364515424</v>
      </c>
      <c r="O239" s="16" t="n">
        <v>-9.19101077622747</v>
      </c>
      <c r="P239" s="16" t="n">
        <v>-1.65823558521852</v>
      </c>
      <c r="Q239" s="16" t="n">
        <v>3.12489942847702</v>
      </c>
      <c r="R239" s="16" t="n">
        <v>-3.37303335950738</v>
      </c>
      <c r="S239" s="16" t="n">
        <v>0</v>
      </c>
      <c r="T239" s="16" t="n">
        <v>10.1515669352935</v>
      </c>
      <c r="U239" s="16" t="n">
        <v>25</v>
      </c>
      <c r="V239" s="16" t="n">
        <v>25</v>
      </c>
      <c r="W239" s="16" t="n">
        <v>563.5625</v>
      </c>
      <c r="X239" s="16" t="n">
        <v>0</v>
      </c>
      <c r="Y239" s="16" t="n">
        <v>0</v>
      </c>
      <c r="Z239" s="16" t="n">
        <v>0</v>
      </c>
      <c r="AA239" s="16" t="n">
        <v>0</v>
      </c>
      <c r="AB239" s="16" t="n">
        <v>0</v>
      </c>
      <c r="AC239" s="16" t="n">
        <v>563.5625</v>
      </c>
      <c r="AD239" s="16" t="n">
        <v>93.5371962210673</v>
      </c>
      <c r="AE239" s="16" t="n">
        <v>0</v>
      </c>
      <c r="AF239" s="16" t="n">
        <v>4.13454933947599</v>
      </c>
      <c r="AG239" s="16" t="n">
        <v>89.4026468815913</v>
      </c>
      <c r="AH239" s="16" t="n">
        <v>3.72276759581749</v>
      </c>
      <c r="AI239" s="16" t="n">
        <v>3.72276759581749</v>
      </c>
      <c r="AJ239" s="16" t="n">
        <v>0.66925</v>
      </c>
      <c r="AK239" s="16" t="n">
        <v>1.20833333333333</v>
      </c>
      <c r="AL239" s="16" t="n">
        <v>0.416666666666667</v>
      </c>
      <c r="AM239" s="16" t="n">
        <v>0</v>
      </c>
      <c r="AN239" s="16" t="n">
        <v>715.584146881591</v>
      </c>
      <c r="AO239" s="16" t="n">
        <v>0</v>
      </c>
      <c r="AP239" s="16" t="n">
        <v>89.4026468815913</v>
      </c>
      <c r="AQ239" s="14" t="n">
        <v>204.397353118409</v>
      </c>
      <c r="AR239" s="14" t="s">
        <v>521</v>
      </c>
      <c r="AS239" s="29" t="n">
        <v>46327</v>
      </c>
      <c r="AT239" s="14" t="n">
        <v>184.990329246214</v>
      </c>
      <c r="AU239" s="17" t="n">
        <v>3.86822462448392</v>
      </c>
      <c r="AV239" s="17" t="n">
        <v>3.64009477477082</v>
      </c>
      <c r="AW239" s="16" t="n">
        <v>0</v>
      </c>
      <c r="AX239" s="14" t="s">
        <v>257</v>
      </c>
      <c r="AY239" s="14" t="s">
        <v>257</v>
      </c>
      <c r="AZ239" s="14" t="s">
        <v>373</v>
      </c>
      <c r="BA239" s="14" t="s">
        <v>259</v>
      </c>
      <c r="BB239" s="14" t="s">
        <v>531</v>
      </c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</row>
    <row r="240" customFormat="false" ht="15" hidden="false" customHeight="false" outlineLevel="0" collapsed="false">
      <c r="C240" s="14" t="s">
        <v>284</v>
      </c>
      <c r="D240" s="14" t="s">
        <v>285</v>
      </c>
      <c r="E240" s="14" t="s">
        <v>323</v>
      </c>
      <c r="F240" s="14" t="s">
        <v>253</v>
      </c>
      <c r="G240" s="29" t="n">
        <v>46631</v>
      </c>
      <c r="H240" s="29" t="n">
        <v>46660</v>
      </c>
      <c r="I240" s="14" t="s">
        <v>302</v>
      </c>
      <c r="J240" s="14" t="s">
        <v>288</v>
      </c>
      <c r="K240" s="14" t="n">
        <v>30</v>
      </c>
      <c r="L240" s="16" t="n">
        <v>144.558572550316</v>
      </c>
      <c r="M240" s="30" t="n">
        <v>27.9159174302794</v>
      </c>
      <c r="N240" s="16" t="n">
        <v>18.0869046773135</v>
      </c>
      <c r="O240" s="16" t="n">
        <v>-9.19101077622747</v>
      </c>
      <c r="P240" s="16" t="n">
        <v>-2.48735337782778</v>
      </c>
      <c r="Q240" s="16" t="n">
        <v>4.68734914271553</v>
      </c>
      <c r="R240" s="16" t="n">
        <v>-5.05955003926106</v>
      </c>
      <c r="S240" s="16" t="n">
        <v>0</v>
      </c>
      <c r="T240" s="16" t="n">
        <v>15.2273504029402</v>
      </c>
      <c r="U240" s="16" t="n">
        <v>25</v>
      </c>
      <c r="V240" s="16" t="n">
        <v>25</v>
      </c>
      <c r="W240" s="16" t="n">
        <v>563.5625</v>
      </c>
      <c r="X240" s="16" t="n">
        <v>0</v>
      </c>
      <c r="Y240" s="16" t="n">
        <v>0</v>
      </c>
      <c r="Z240" s="16" t="n">
        <v>0</v>
      </c>
      <c r="AA240" s="16" t="n">
        <v>0</v>
      </c>
      <c r="AB240" s="16" t="n">
        <v>0</v>
      </c>
      <c r="AC240" s="16" t="n">
        <v>563.5625</v>
      </c>
      <c r="AD240" s="16" t="n">
        <v>89.4026468815913</v>
      </c>
      <c r="AE240" s="16" t="n">
        <v>0</v>
      </c>
      <c r="AF240" s="16" t="n">
        <v>9.2483625818315</v>
      </c>
      <c r="AG240" s="16" t="n">
        <v>80.1542842997598</v>
      </c>
      <c r="AH240" s="16" t="n">
        <v>3.68473782110871</v>
      </c>
      <c r="AI240" s="16" t="n">
        <v>3.68473782110871</v>
      </c>
      <c r="AJ240" s="16" t="n">
        <v>0.66925</v>
      </c>
      <c r="AK240" s="16" t="n">
        <v>1.20833333333333</v>
      </c>
      <c r="AL240" s="16" t="n">
        <v>0.416666666666667</v>
      </c>
      <c r="AM240" s="16" t="n">
        <v>0</v>
      </c>
      <c r="AN240" s="16" t="n">
        <v>706.33578429976</v>
      </c>
      <c r="AO240" s="16" t="n">
        <v>0</v>
      </c>
      <c r="AP240" s="16" t="n">
        <v>80.1542842997598</v>
      </c>
      <c r="AQ240" s="14" t="n">
        <v>213.64571570024</v>
      </c>
      <c r="AR240" s="14" t="s">
        <v>521</v>
      </c>
      <c r="AS240" s="29" t="n">
        <v>46327</v>
      </c>
      <c r="AT240" s="14" t="n">
        <v>187.947176492147</v>
      </c>
      <c r="AU240" s="17" t="n">
        <v>3.75816118913216</v>
      </c>
      <c r="AV240" s="17" t="n">
        <v>3.76173131995836</v>
      </c>
      <c r="AW240" s="16" t="n">
        <v>0</v>
      </c>
      <c r="AX240" s="14" t="s">
        <v>257</v>
      </c>
      <c r="AY240" s="14" t="s">
        <v>257</v>
      </c>
      <c r="AZ240" s="14" t="s">
        <v>373</v>
      </c>
      <c r="BA240" s="14" t="s">
        <v>259</v>
      </c>
      <c r="BB240" s="14" t="s">
        <v>532</v>
      </c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</row>
    <row r="241" customFormat="false" ht="15" hidden="false" customHeight="false" outlineLevel="0" collapsed="false">
      <c r="C241" s="14" t="s">
        <v>284</v>
      </c>
      <c r="D241" s="14" t="s">
        <v>285</v>
      </c>
      <c r="E241" s="14" t="s">
        <v>325</v>
      </c>
      <c r="F241" s="14" t="s">
        <v>253</v>
      </c>
      <c r="G241" s="29" t="n">
        <v>46661</v>
      </c>
      <c r="H241" s="29" t="n">
        <v>46691</v>
      </c>
      <c r="I241" s="14" t="s">
        <v>302</v>
      </c>
      <c r="J241" s="14" t="s">
        <v>288</v>
      </c>
      <c r="K241" s="14" t="n">
        <v>31</v>
      </c>
      <c r="L241" s="16" t="n">
        <v>240.930954250527</v>
      </c>
      <c r="M241" s="30" t="n">
        <v>27.9159174302794</v>
      </c>
      <c r="N241" s="16" t="n">
        <v>30.1448411288559</v>
      </c>
      <c r="O241" s="16" t="n">
        <v>-9.19101077622747</v>
      </c>
      <c r="P241" s="16" t="n">
        <v>-4.14558896304631</v>
      </c>
      <c r="Q241" s="16" t="n">
        <v>7.81224857119256</v>
      </c>
      <c r="R241" s="16" t="n">
        <v>-8.43258339876844</v>
      </c>
      <c r="S241" s="16" t="n">
        <v>0</v>
      </c>
      <c r="T241" s="16" t="n">
        <v>25.3789173382337</v>
      </c>
      <c r="U241" s="16" t="n">
        <v>25</v>
      </c>
      <c r="V241" s="16" t="n">
        <v>25</v>
      </c>
      <c r="W241" s="16" t="n">
        <v>563.5625</v>
      </c>
      <c r="X241" s="16" t="n">
        <v>11.90625</v>
      </c>
      <c r="Y241" s="16" t="n">
        <v>11.90625</v>
      </c>
      <c r="Z241" s="16" t="n">
        <v>0</v>
      </c>
      <c r="AA241" s="16" t="n">
        <v>0</v>
      </c>
      <c r="AB241" s="16" t="n">
        <v>0</v>
      </c>
      <c r="AC241" s="16" t="n">
        <v>551.65625</v>
      </c>
      <c r="AD241" s="16" t="n">
        <v>80.1542842997598</v>
      </c>
      <c r="AE241" s="16" t="n">
        <v>0</v>
      </c>
      <c r="AF241" s="16" t="n">
        <v>7.57532041004387</v>
      </c>
      <c r="AG241" s="16" t="n">
        <v>72.5789638897159</v>
      </c>
      <c r="AH241" s="16" t="n">
        <v>3.60309692818983</v>
      </c>
      <c r="AI241" s="16" t="n">
        <v>3.60309692818983</v>
      </c>
      <c r="AJ241" s="16" t="n">
        <v>0.66925</v>
      </c>
      <c r="AK241" s="16" t="n">
        <v>1.20833333333333</v>
      </c>
      <c r="AL241" s="16" t="n">
        <v>0.416666666666667</v>
      </c>
      <c r="AM241" s="16" t="n">
        <v>0</v>
      </c>
      <c r="AN241" s="16" t="n">
        <v>686.854213889716</v>
      </c>
      <c r="AO241" s="16" t="n">
        <v>0</v>
      </c>
      <c r="AP241" s="16" t="n">
        <v>72.5789638897159</v>
      </c>
      <c r="AQ241" s="14" t="n">
        <v>221.221036110284</v>
      </c>
      <c r="AR241" s="14" t="s">
        <v>521</v>
      </c>
      <c r="AS241" s="29" t="n">
        <v>46327</v>
      </c>
      <c r="AT241" s="14" t="n">
        <v>192.87525523537</v>
      </c>
      <c r="AU241" s="17" t="n">
        <v>3.5611318468589</v>
      </c>
      <c r="AV241" s="17" t="n">
        <v>3.93109247361007</v>
      </c>
      <c r="AW241" s="16" t="n">
        <v>0</v>
      </c>
      <c r="AX241" s="14" t="s">
        <v>257</v>
      </c>
      <c r="AY241" s="14" t="s">
        <v>257</v>
      </c>
      <c r="AZ241" s="14" t="s">
        <v>373</v>
      </c>
      <c r="BA241" s="14" t="s">
        <v>259</v>
      </c>
      <c r="BB241" s="14" t="s">
        <v>533</v>
      </c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</row>
    <row r="242" customFormat="false" ht="15" hidden="false" customHeight="false" outlineLevel="0" collapsed="false">
      <c r="C242" s="14" t="s">
        <v>284</v>
      </c>
      <c r="D242" s="14" t="s">
        <v>285</v>
      </c>
      <c r="E242" s="14" t="s">
        <v>327</v>
      </c>
      <c r="F242" s="14" t="s">
        <v>253</v>
      </c>
      <c r="G242" s="29" t="n">
        <v>46692</v>
      </c>
      <c r="H242" s="29" t="n">
        <v>46721</v>
      </c>
      <c r="I242" s="14" t="s">
        <v>328</v>
      </c>
      <c r="J242" s="14" t="s">
        <v>303</v>
      </c>
      <c r="K242" s="14" t="n">
        <v>30</v>
      </c>
      <c r="L242" s="16" t="n">
        <v>133.337999150025</v>
      </c>
      <c r="M242" s="30" t="n">
        <v>22.9096754759419</v>
      </c>
      <c r="N242" s="16" t="n">
        <v>10.6744741600661</v>
      </c>
      <c r="O242" s="16" t="n">
        <v>-7.50586264815323</v>
      </c>
      <c r="P242" s="16" t="n">
        <v>-0.792152877978208</v>
      </c>
      <c r="Q242" s="16" t="n">
        <v>5.21542270969534</v>
      </c>
      <c r="R242" s="16" t="n">
        <v>-4.66682997025089</v>
      </c>
      <c r="S242" s="16" t="n">
        <v>0</v>
      </c>
      <c r="T242" s="16" t="n">
        <v>10.4309140215323</v>
      </c>
      <c r="U242" s="16" t="n">
        <v>25</v>
      </c>
      <c r="V242" s="16" t="n">
        <v>25</v>
      </c>
      <c r="W242" s="16" t="n">
        <v>551.65625</v>
      </c>
      <c r="X242" s="16" t="n">
        <v>0</v>
      </c>
      <c r="Y242" s="16" t="n">
        <v>0</v>
      </c>
      <c r="Z242" s="16" t="n">
        <v>0</v>
      </c>
      <c r="AA242" s="16" t="n">
        <v>0</v>
      </c>
      <c r="AB242" s="16" t="n">
        <v>0</v>
      </c>
      <c r="AC242" s="16" t="n">
        <v>551.65625</v>
      </c>
      <c r="AD242" s="16" t="n">
        <v>72.5789638897159</v>
      </c>
      <c r="AE242" s="16" t="n">
        <v>0</v>
      </c>
      <c r="AF242" s="16" t="n">
        <v>4.83228794707382</v>
      </c>
      <c r="AG242" s="16" t="n">
        <v>67.7466759426421</v>
      </c>
      <c r="AH242" s="16" t="n">
        <v>3.40445940779182</v>
      </c>
      <c r="AI242" s="16" t="n">
        <v>3.40445940779182</v>
      </c>
      <c r="AJ242" s="16" t="n">
        <v>0.569166666666667</v>
      </c>
      <c r="AK242" s="16" t="n">
        <v>1.20833333333333</v>
      </c>
      <c r="AL242" s="16" t="n">
        <v>0.416666666666667</v>
      </c>
      <c r="AM242" s="16" t="n">
        <v>0</v>
      </c>
      <c r="AN242" s="16" t="n">
        <v>682.021925942642</v>
      </c>
      <c r="AO242" s="16" t="n">
        <v>0</v>
      </c>
      <c r="AP242" s="16" t="n">
        <v>67.7466759426421</v>
      </c>
      <c r="AQ242" s="14" t="n">
        <v>226.053324057358</v>
      </c>
      <c r="AR242" s="14" t="s">
        <v>521</v>
      </c>
      <c r="AS242" s="29" t="n">
        <v>46327</v>
      </c>
      <c r="AT242" s="14" t="n">
        <v>199.057289431103</v>
      </c>
      <c r="AU242" s="17" t="n">
        <v>3.42625948485398</v>
      </c>
      <c r="AV242" s="17" t="n">
        <v>4.14729195848877</v>
      </c>
      <c r="AW242" s="16" t="n">
        <v>0</v>
      </c>
      <c r="AX242" s="14" t="s">
        <v>257</v>
      </c>
      <c r="AY242" s="14" t="s">
        <v>257</v>
      </c>
      <c r="AZ242" s="14" t="s">
        <v>373</v>
      </c>
      <c r="BA242" s="14" t="s">
        <v>259</v>
      </c>
      <c r="BB242" s="14" t="s">
        <v>534</v>
      </c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</row>
    <row r="243" customFormat="false" ht="15" hidden="false" customHeight="false" outlineLevel="0" collapsed="false">
      <c r="C243" s="14" t="s">
        <v>284</v>
      </c>
      <c r="D243" s="14" t="s">
        <v>285</v>
      </c>
      <c r="E243" s="14" t="s">
        <v>330</v>
      </c>
      <c r="F243" s="14" t="s">
        <v>253</v>
      </c>
      <c r="G243" s="29" t="n">
        <v>46722</v>
      </c>
      <c r="H243" s="29" t="n">
        <v>46752</v>
      </c>
      <c r="I243" s="14" t="s">
        <v>328</v>
      </c>
      <c r="J243" s="14" t="s">
        <v>303</v>
      </c>
      <c r="K243" s="14" t="n">
        <v>31</v>
      </c>
      <c r="L243" s="16" t="n">
        <v>133.337999150025</v>
      </c>
      <c r="M243" s="30" t="n">
        <v>22.9096754759419</v>
      </c>
      <c r="N243" s="16" t="n">
        <v>10.6744741600661</v>
      </c>
      <c r="O243" s="16" t="n">
        <v>-7.50586264815323</v>
      </c>
      <c r="P243" s="16" t="n">
        <v>-0.792152877978208</v>
      </c>
      <c r="Q243" s="16" t="n">
        <v>5.21542270969534</v>
      </c>
      <c r="R243" s="16" t="n">
        <v>-4.66682997025089</v>
      </c>
      <c r="S243" s="16" t="n">
        <v>0</v>
      </c>
      <c r="T243" s="16" t="n">
        <v>10.4309140215323</v>
      </c>
      <c r="U243" s="16" t="n">
        <v>25</v>
      </c>
      <c r="V243" s="16" t="n">
        <v>25</v>
      </c>
      <c r="W243" s="16" t="n">
        <v>551.65625</v>
      </c>
      <c r="X243" s="16" t="n">
        <v>0</v>
      </c>
      <c r="Y243" s="16" t="n">
        <v>0</v>
      </c>
      <c r="Z243" s="16" t="n">
        <v>0</v>
      </c>
      <c r="AA243" s="16" t="n">
        <v>0</v>
      </c>
      <c r="AB243" s="16" t="n">
        <v>0</v>
      </c>
      <c r="AC243" s="16" t="n">
        <v>551.65625</v>
      </c>
      <c r="AD243" s="16" t="n">
        <v>67.7466759426421</v>
      </c>
      <c r="AE243" s="16" t="n">
        <v>0</v>
      </c>
      <c r="AF243" s="16" t="n">
        <v>4.85881734781859</v>
      </c>
      <c r="AG243" s="16" t="n">
        <v>62.8878585948235</v>
      </c>
      <c r="AH243" s="16" t="n">
        <v>3.37793000704706</v>
      </c>
      <c r="AI243" s="16" t="n">
        <v>3.37793000704706</v>
      </c>
      <c r="AJ243" s="16" t="n">
        <v>0.569166666666667</v>
      </c>
      <c r="AK243" s="16" t="n">
        <v>1.20833333333333</v>
      </c>
      <c r="AL243" s="16" t="n">
        <v>0.416666666666667</v>
      </c>
      <c r="AM243" s="16" t="n">
        <v>0</v>
      </c>
      <c r="AN243" s="16" t="n">
        <v>677.163108594824</v>
      </c>
      <c r="AO243" s="16" t="n">
        <v>0</v>
      </c>
      <c r="AP243" s="16" t="n">
        <v>62.8878585948235</v>
      </c>
      <c r="AQ243" s="14" t="n">
        <v>230.912141405177</v>
      </c>
      <c r="AR243" s="14" t="s">
        <v>521</v>
      </c>
      <c r="AS243" s="29" t="n">
        <v>46327</v>
      </c>
      <c r="AT243" s="14" t="n">
        <v>202.99310364467</v>
      </c>
      <c r="AU243" s="17" t="n">
        <v>3.33589218764873</v>
      </c>
      <c r="AV243" s="17" t="n">
        <v>4.32790662871887</v>
      </c>
      <c r="AW243" s="16" t="n">
        <v>0</v>
      </c>
      <c r="AX243" s="14" t="s">
        <v>257</v>
      </c>
      <c r="AY243" s="14" t="s">
        <v>257</v>
      </c>
      <c r="AZ243" s="14" t="s">
        <v>373</v>
      </c>
      <c r="BA243" s="14" t="s">
        <v>259</v>
      </c>
      <c r="BB243" s="14" t="s">
        <v>535</v>
      </c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</row>
    <row r="244" customFormat="false" ht="15" hidden="false" customHeight="false" outlineLevel="0" collapsed="false">
      <c r="C244" s="14" t="s">
        <v>284</v>
      </c>
      <c r="D244" s="14" t="s">
        <v>285</v>
      </c>
      <c r="E244" s="14" t="s">
        <v>332</v>
      </c>
      <c r="F244" s="14" t="s">
        <v>253</v>
      </c>
      <c r="G244" s="29" t="n">
        <v>46753</v>
      </c>
      <c r="H244" s="29" t="n">
        <v>46783</v>
      </c>
      <c r="I244" s="14" t="s">
        <v>328</v>
      </c>
      <c r="J244" s="14" t="s">
        <v>303</v>
      </c>
      <c r="K244" s="14" t="n">
        <v>31</v>
      </c>
      <c r="L244" s="16" t="n">
        <v>133.337999150025</v>
      </c>
      <c r="M244" s="30" t="n">
        <v>22.9096754759419</v>
      </c>
      <c r="N244" s="16" t="n">
        <v>10.6744741600661</v>
      </c>
      <c r="O244" s="16" t="n">
        <v>-7.50586264815323</v>
      </c>
      <c r="P244" s="16" t="n">
        <v>-0.792152877978208</v>
      </c>
      <c r="Q244" s="16" t="n">
        <v>5.21542270969534</v>
      </c>
      <c r="R244" s="16" t="n">
        <v>-4.66682997025089</v>
      </c>
      <c r="S244" s="16" t="n">
        <v>0</v>
      </c>
      <c r="T244" s="16" t="n">
        <v>10.4309140215323</v>
      </c>
      <c r="U244" s="16" t="n">
        <v>25</v>
      </c>
      <c r="V244" s="16" t="n">
        <v>17.998461719684</v>
      </c>
      <c r="W244" s="16" t="n">
        <v>551.65625</v>
      </c>
      <c r="X244" s="16" t="n">
        <v>11.90625</v>
      </c>
      <c r="Y244" s="16" t="n">
        <v>11.90625</v>
      </c>
      <c r="Z244" s="16" t="n">
        <v>0</v>
      </c>
      <c r="AA244" s="16" t="n">
        <v>0</v>
      </c>
      <c r="AB244" s="16" t="n">
        <v>0</v>
      </c>
      <c r="AC244" s="16" t="n">
        <v>539.75</v>
      </c>
      <c r="AD244" s="16" t="n">
        <v>62.8878585948235</v>
      </c>
      <c r="AE244" s="16" t="n">
        <v>0</v>
      </c>
      <c r="AF244" s="16" t="n">
        <v>0</v>
      </c>
      <c r="AG244" s="16" t="n">
        <v>62.8878585948235</v>
      </c>
      <c r="AH244" s="16" t="n">
        <v>3.33203563518166</v>
      </c>
      <c r="AI244" s="16" t="n">
        <v>3.33203563518166</v>
      </c>
      <c r="AJ244" s="16" t="n">
        <v>0.569166666666667</v>
      </c>
      <c r="AK244" s="16" t="n">
        <v>1.20833333333333</v>
      </c>
      <c r="AL244" s="16" t="n">
        <v>0.416666666666667</v>
      </c>
      <c r="AM244" s="16" t="n">
        <v>0</v>
      </c>
      <c r="AN244" s="16" t="n">
        <v>665.256858594824</v>
      </c>
      <c r="AO244" s="16" t="n">
        <v>0</v>
      </c>
      <c r="AP244" s="16" t="n">
        <v>62.8878585948235</v>
      </c>
      <c r="AQ244" s="14" t="n">
        <v>230.912141405177</v>
      </c>
      <c r="AR244" s="14" t="s">
        <v>521</v>
      </c>
      <c r="AS244" s="29" t="n">
        <v>46327</v>
      </c>
      <c r="AT244" s="14" t="n">
        <v>202.436477893904</v>
      </c>
      <c r="AU244" s="17" t="n">
        <v>3.28624991659597</v>
      </c>
      <c r="AV244" s="17" t="n">
        <v>4.41988223869102</v>
      </c>
      <c r="AW244" s="16" t="n">
        <v>0</v>
      </c>
      <c r="AX244" s="14" t="s">
        <v>257</v>
      </c>
      <c r="AY244" s="14" t="s">
        <v>257</v>
      </c>
      <c r="AZ244" s="14" t="s">
        <v>455</v>
      </c>
      <c r="BA244" s="14" t="s">
        <v>259</v>
      </c>
      <c r="BB244" s="14" t="s">
        <v>536</v>
      </c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</row>
    <row r="245" customFormat="false" ht="15" hidden="false" customHeight="false" outlineLevel="0" collapsed="false">
      <c r="C245" s="14" t="s">
        <v>284</v>
      </c>
      <c r="D245" s="14" t="s">
        <v>285</v>
      </c>
      <c r="E245" s="14" t="s">
        <v>334</v>
      </c>
      <c r="F245" s="14" t="s">
        <v>335</v>
      </c>
      <c r="G245" s="29" t="n">
        <v>46784</v>
      </c>
      <c r="H245" s="29" t="n">
        <v>46873</v>
      </c>
      <c r="I245" s="14" t="s">
        <v>328</v>
      </c>
      <c r="J245" s="14" t="s">
        <v>255</v>
      </c>
      <c r="K245" s="14" t="n">
        <v>90</v>
      </c>
      <c r="L245" s="16" t="n">
        <v>452.444064998389</v>
      </c>
      <c r="M245" s="30" t="n">
        <v>28.8693217195837</v>
      </c>
      <c r="N245" s="16" t="n">
        <v>63.1848168341226</v>
      </c>
      <c r="O245" s="16" t="n">
        <v>-25.4689813068893</v>
      </c>
      <c r="P245" s="16" t="n">
        <v>-9.42895888180832</v>
      </c>
      <c r="Q245" s="16" t="n">
        <v>-2.58122943313587</v>
      </c>
      <c r="R245" s="16" t="n">
        <v>-15.8355422749436</v>
      </c>
      <c r="S245" s="16" t="n">
        <v>0</v>
      </c>
      <c r="T245" s="16" t="n">
        <v>35.3390862442348</v>
      </c>
      <c r="U245" s="16" t="n">
        <v>17.998461719684</v>
      </c>
      <c r="V245" s="16" t="n">
        <v>19.4430127772468</v>
      </c>
      <c r="W245" s="16" t="n">
        <v>539.75</v>
      </c>
      <c r="X245" s="16" t="n">
        <v>11.90625</v>
      </c>
      <c r="Y245" s="16" t="n">
        <v>11.90625</v>
      </c>
      <c r="Z245" s="16" t="n">
        <v>0</v>
      </c>
      <c r="AA245" s="16" t="n">
        <v>0</v>
      </c>
      <c r="AB245" s="16" t="n">
        <v>0</v>
      </c>
      <c r="AC245" s="16" t="n">
        <v>527.84375</v>
      </c>
      <c r="AD245" s="16" t="n">
        <v>62.8878585948235</v>
      </c>
      <c r="AE245" s="16" t="n">
        <v>0</v>
      </c>
      <c r="AF245" s="16" t="n">
        <v>5.58592613702644</v>
      </c>
      <c r="AG245" s="16" t="n">
        <v>57.3019324577971</v>
      </c>
      <c r="AH245" s="16" t="n">
        <v>9.8198590496455</v>
      </c>
      <c r="AI245" s="16" t="n">
        <v>9.8198590496455</v>
      </c>
      <c r="AJ245" s="16" t="n">
        <v>1.7075</v>
      </c>
      <c r="AK245" s="16" t="n">
        <v>3.625</v>
      </c>
      <c r="AL245" s="16" t="n">
        <v>1.25</v>
      </c>
      <c r="AM245" s="16" t="n">
        <v>0</v>
      </c>
      <c r="AN245" s="16" t="n">
        <v>647.764682457797</v>
      </c>
      <c r="AO245" s="16" t="n">
        <v>0</v>
      </c>
      <c r="AP245" s="16" t="n">
        <v>62.8878585948235</v>
      </c>
      <c r="AQ245" s="14" t="n">
        <v>236.498067542203</v>
      </c>
      <c r="AR245" s="14" t="s">
        <v>521</v>
      </c>
      <c r="AS245" s="29" t="n">
        <v>46327</v>
      </c>
      <c r="AT245" s="14" t="n">
        <v>211.971207714838</v>
      </c>
      <c r="AU245" s="17" t="n">
        <v>3.05590881630125</v>
      </c>
      <c r="AV245" s="17" t="n">
        <v>4.94062513043862</v>
      </c>
      <c r="AW245" s="16" t="n">
        <v>0</v>
      </c>
      <c r="AX245" s="14" t="s">
        <v>257</v>
      </c>
      <c r="AY245" s="14" t="s">
        <v>257</v>
      </c>
      <c r="AZ245" s="14" t="s">
        <v>455</v>
      </c>
      <c r="BA245" s="14" t="s">
        <v>259</v>
      </c>
      <c r="BB245" s="14" t="s">
        <v>537</v>
      </c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</row>
    <row r="246" customFormat="false" ht="15" hidden="false" customHeight="false" outlineLevel="0" collapsed="false">
      <c r="C246" s="14" t="s">
        <v>284</v>
      </c>
      <c r="D246" s="14" t="s">
        <v>285</v>
      </c>
      <c r="E246" s="14" t="s">
        <v>337</v>
      </c>
      <c r="F246" s="14" t="s">
        <v>335</v>
      </c>
      <c r="G246" s="29" t="n">
        <v>46874</v>
      </c>
      <c r="H246" s="29" t="n">
        <v>46965</v>
      </c>
      <c r="I246" s="14" t="s">
        <v>328</v>
      </c>
      <c r="J246" s="14" t="s">
        <v>271</v>
      </c>
      <c r="K246" s="14" t="n">
        <v>92</v>
      </c>
      <c r="L246" s="16" t="n">
        <v>495.235855453629</v>
      </c>
      <c r="M246" s="30" t="n">
        <v>27.6901735836919</v>
      </c>
      <c r="N246" s="16" t="n">
        <v>63.3212208911272</v>
      </c>
      <c r="O246" s="16" t="n">
        <v>-27.8778167751957</v>
      </c>
      <c r="P246" s="16" t="n">
        <v>-8.86085102898288</v>
      </c>
      <c r="Q246" s="16" t="n">
        <v>-1.89394252465263</v>
      </c>
      <c r="R246" s="16" t="n">
        <v>-17.333254940877</v>
      </c>
      <c r="S246" s="16" t="n">
        <v>0</v>
      </c>
      <c r="T246" s="16" t="n">
        <v>35.2331723966147</v>
      </c>
      <c r="U246" s="16" t="n">
        <v>19.4430127772468</v>
      </c>
      <c r="V246" s="16" t="n">
        <v>19.5120961603872</v>
      </c>
      <c r="W246" s="16" t="n">
        <v>527.84375</v>
      </c>
      <c r="X246" s="16" t="n">
        <v>11.90625</v>
      </c>
      <c r="Y246" s="16" t="n">
        <v>11.90625</v>
      </c>
      <c r="Z246" s="16" t="n">
        <v>0</v>
      </c>
      <c r="AA246" s="16" t="n">
        <v>0</v>
      </c>
      <c r="AB246" s="16" t="n">
        <v>0</v>
      </c>
      <c r="AC246" s="16" t="n">
        <v>515.9375</v>
      </c>
      <c r="AD246" s="16" t="n">
        <v>57.3019324577971</v>
      </c>
      <c r="AE246" s="16" t="n">
        <v>0</v>
      </c>
      <c r="AF246" s="16" t="n">
        <v>7.16005118973176</v>
      </c>
      <c r="AG246" s="16" t="n">
        <v>50.1418812680653</v>
      </c>
      <c r="AH246" s="16" t="n">
        <v>9.5152878237425</v>
      </c>
      <c r="AI246" s="16" t="n">
        <v>9.5152878237425</v>
      </c>
      <c r="AJ246" s="16" t="n">
        <v>1.7075</v>
      </c>
      <c r="AK246" s="16" t="n">
        <v>3.625</v>
      </c>
      <c r="AL246" s="16" t="n">
        <v>1.25</v>
      </c>
      <c r="AM246" s="16" t="n">
        <v>0</v>
      </c>
      <c r="AN246" s="16" t="n">
        <v>628.698381268065</v>
      </c>
      <c r="AO246" s="16" t="n">
        <v>0</v>
      </c>
      <c r="AP246" s="16" t="n">
        <v>56.5102007943733</v>
      </c>
      <c r="AQ246" s="14" t="n">
        <v>243.658118731935</v>
      </c>
      <c r="AR246" s="14" t="s">
        <v>521</v>
      </c>
      <c r="AS246" s="29" t="n">
        <v>46327</v>
      </c>
      <c r="AT246" s="14" t="n">
        <v>218.81914246316</v>
      </c>
      <c r="AU246" s="17" t="n">
        <v>2.87314160082641</v>
      </c>
      <c r="AV246" s="17" t="n">
        <v>5.40826000923548</v>
      </c>
      <c r="AW246" s="16" t="n">
        <v>0</v>
      </c>
      <c r="AX246" s="14" t="s">
        <v>257</v>
      </c>
      <c r="AY246" s="14" t="s">
        <v>257</v>
      </c>
      <c r="AZ246" s="14" t="s">
        <v>455</v>
      </c>
      <c r="BA246" s="14" t="s">
        <v>259</v>
      </c>
      <c r="BB246" s="14" t="s">
        <v>538</v>
      </c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</row>
    <row r="247" customFormat="false" ht="15" hidden="false" customHeight="false" outlineLevel="0" collapsed="false">
      <c r="C247" s="14" t="s">
        <v>284</v>
      </c>
      <c r="D247" s="14" t="s">
        <v>285</v>
      </c>
      <c r="E247" s="14" t="s">
        <v>339</v>
      </c>
      <c r="F247" s="14" t="s">
        <v>335</v>
      </c>
      <c r="G247" s="29" t="n">
        <v>46966</v>
      </c>
      <c r="H247" s="29" t="n">
        <v>47057</v>
      </c>
      <c r="I247" s="14" t="s">
        <v>328</v>
      </c>
      <c r="J247" s="14" t="s">
        <v>288</v>
      </c>
      <c r="K247" s="14" t="n">
        <v>92</v>
      </c>
      <c r="L247" s="16" t="n">
        <v>489.809262468454</v>
      </c>
      <c r="M247" s="30" t="n">
        <v>27.9159174302794</v>
      </c>
      <c r="N247" s="16" t="n">
        <v>63.7330869889932</v>
      </c>
      <c r="O247" s="16" t="n">
        <v>-27.5723430028742</v>
      </c>
      <c r="P247" s="16" t="n">
        <v>-9.04018599652975</v>
      </c>
      <c r="Q247" s="16" t="n">
        <v>-0.929886228966411</v>
      </c>
      <c r="R247" s="16" t="n">
        <v>-17.1433241863959</v>
      </c>
      <c r="S247" s="16" t="n">
        <v>0</v>
      </c>
      <c r="T247" s="16" t="n">
        <v>36.6196905771011</v>
      </c>
      <c r="U247" s="16" t="n">
        <v>19.5120961603872</v>
      </c>
      <c r="V247" s="16" t="n">
        <v>20.0852761841611</v>
      </c>
      <c r="W247" s="16" t="n">
        <v>515.9375</v>
      </c>
      <c r="X247" s="16" t="n">
        <v>11.90625</v>
      </c>
      <c r="Y247" s="16" t="n">
        <v>11.90625</v>
      </c>
      <c r="Z247" s="16" t="n">
        <v>0</v>
      </c>
      <c r="AA247" s="16" t="n">
        <v>0</v>
      </c>
      <c r="AB247" s="16" t="n">
        <v>0</v>
      </c>
      <c r="AC247" s="16" t="n">
        <v>504.03125</v>
      </c>
      <c r="AD247" s="16" t="n">
        <v>50.1418812680653</v>
      </c>
      <c r="AE247" s="16" t="n">
        <v>0</v>
      </c>
      <c r="AF247" s="16" t="n">
        <v>8.36905537808574</v>
      </c>
      <c r="AG247" s="16" t="n">
        <v>41.7728258899796</v>
      </c>
      <c r="AH247" s="16" t="n">
        <v>9.18870517524156</v>
      </c>
      <c r="AI247" s="16" t="n">
        <v>9.18870517524156</v>
      </c>
      <c r="AJ247" s="16" t="n">
        <v>1.7075</v>
      </c>
      <c r="AK247" s="16" t="n">
        <v>3.625</v>
      </c>
      <c r="AL247" s="16" t="n">
        <v>1.25</v>
      </c>
      <c r="AM247" s="16" t="n">
        <v>0</v>
      </c>
      <c r="AN247" s="16" t="n">
        <v>608.42307588998</v>
      </c>
      <c r="AO247" s="16" t="n">
        <v>0</v>
      </c>
      <c r="AP247" s="16" t="n">
        <v>48.7127606433771</v>
      </c>
      <c r="AQ247" s="14" t="n">
        <v>252.02717411002</v>
      </c>
      <c r="AR247" s="14" t="s">
        <v>521</v>
      </c>
      <c r="AS247" s="29" t="n">
        <v>46327</v>
      </c>
      <c r="AT247" s="14" t="n">
        <v>222.262547194441</v>
      </c>
      <c r="AU247" s="17" t="n">
        <v>2.73740710511031</v>
      </c>
      <c r="AV247" s="17" t="n">
        <v>5.75239280537709</v>
      </c>
      <c r="AW247" s="16" t="n">
        <v>0</v>
      </c>
      <c r="AX247" s="14" t="s">
        <v>257</v>
      </c>
      <c r="AY247" s="14" t="s">
        <v>257</v>
      </c>
      <c r="AZ247" s="14" t="s">
        <v>455</v>
      </c>
      <c r="BA247" s="14" t="s">
        <v>259</v>
      </c>
      <c r="BB247" s="14" t="s">
        <v>539</v>
      </c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</row>
    <row r="248" customFormat="false" ht="15" hidden="false" customHeight="false" outlineLevel="0" collapsed="false">
      <c r="C248" s="14" t="s">
        <v>284</v>
      </c>
      <c r="D248" s="14" t="s">
        <v>285</v>
      </c>
      <c r="E248" s="14" t="s">
        <v>341</v>
      </c>
      <c r="F248" s="14" t="s">
        <v>335</v>
      </c>
      <c r="G248" s="29" t="n">
        <v>47058</v>
      </c>
      <c r="H248" s="29" t="n">
        <v>47149</v>
      </c>
      <c r="I248" s="14" t="s">
        <v>342</v>
      </c>
      <c r="J248" s="14" t="s">
        <v>303</v>
      </c>
      <c r="K248" s="14" t="n">
        <v>92</v>
      </c>
      <c r="L248" s="16" t="n">
        <v>400.00399710014</v>
      </c>
      <c r="M248" s="30" t="n">
        <v>22.9096754759419</v>
      </c>
      <c r="N248" s="16" t="n">
        <v>32.0226218946362</v>
      </c>
      <c r="O248" s="16" t="n">
        <v>-22.5170250047611</v>
      </c>
      <c r="P248" s="16" t="n">
        <v>-2.37639922246877</v>
      </c>
      <c r="Q248" s="16" t="n">
        <v>0.00152518350547968</v>
      </c>
      <c r="R248" s="16" t="n">
        <v>-14.0001398985049</v>
      </c>
      <c r="S248" s="16" t="n">
        <v>0</v>
      </c>
      <c r="T248" s="16" t="n">
        <v>15.647607957168</v>
      </c>
      <c r="U248" s="16" t="n">
        <v>20.0852761841611</v>
      </c>
      <c r="V248" s="16" t="n">
        <v>8.39489555421115</v>
      </c>
      <c r="W248" s="16" t="n">
        <v>504.03125</v>
      </c>
      <c r="X248" s="16" t="n">
        <v>11.90625</v>
      </c>
      <c r="Y248" s="16" t="n">
        <v>11.90625</v>
      </c>
      <c r="Z248" s="16" t="n">
        <v>0</v>
      </c>
      <c r="AA248" s="16" t="n">
        <v>0</v>
      </c>
      <c r="AB248" s="16" t="n">
        <v>0</v>
      </c>
      <c r="AC248" s="16" t="n">
        <v>492.125</v>
      </c>
      <c r="AD248" s="16" t="n">
        <v>41.7728258899796</v>
      </c>
      <c r="AE248" s="16" t="n">
        <v>0</v>
      </c>
      <c r="AF248" s="16" t="n">
        <v>0</v>
      </c>
      <c r="AG248" s="16" t="n">
        <v>41.7728258899796</v>
      </c>
      <c r="AH248" s="16" t="n">
        <v>8.93223858711791</v>
      </c>
      <c r="AI248" s="16" t="n">
        <v>8.93223858711791</v>
      </c>
      <c r="AJ248" s="16" t="n">
        <v>1.6245</v>
      </c>
      <c r="AK248" s="16" t="n">
        <v>3.625</v>
      </c>
      <c r="AL248" s="16" t="n">
        <v>1.25</v>
      </c>
      <c r="AM248" s="16" t="n">
        <v>0</v>
      </c>
      <c r="AN248" s="16" t="n">
        <v>596.51682588998</v>
      </c>
      <c r="AO248" s="16" t="n">
        <v>0</v>
      </c>
      <c r="AP248" s="16" t="n">
        <v>41.7728258899796</v>
      </c>
      <c r="AQ248" s="14" t="n">
        <v>252.02717411002</v>
      </c>
      <c r="AR248" s="14" t="s">
        <v>521</v>
      </c>
      <c r="AS248" s="29" t="n">
        <v>46327</v>
      </c>
      <c r="AT248" s="14" t="n">
        <v>222.261746608879</v>
      </c>
      <c r="AU248" s="17" t="n">
        <v>2.68384836793211</v>
      </c>
      <c r="AV248" s="17" t="n">
        <v>5.93392804311393</v>
      </c>
      <c r="AW248" s="16" t="n">
        <v>0</v>
      </c>
      <c r="AX248" s="14" t="s">
        <v>257</v>
      </c>
      <c r="AY248" s="14" t="s">
        <v>257</v>
      </c>
      <c r="AZ248" s="14" t="s">
        <v>455</v>
      </c>
      <c r="BA248" s="14" t="s">
        <v>259</v>
      </c>
      <c r="BB248" s="14" t="s">
        <v>540</v>
      </c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</row>
    <row r="249" customFormat="false" ht="15" hidden="false" customHeight="false" outlineLevel="0" collapsed="false">
      <c r="C249" s="14" t="s">
        <v>284</v>
      </c>
      <c r="D249" s="14" t="s">
        <v>285</v>
      </c>
      <c r="E249" s="14" t="s">
        <v>344</v>
      </c>
      <c r="F249" s="14" t="s">
        <v>335</v>
      </c>
      <c r="G249" s="29" t="n">
        <v>47150</v>
      </c>
      <c r="H249" s="29" t="n">
        <v>47238</v>
      </c>
      <c r="I249" s="14" t="s">
        <v>342</v>
      </c>
      <c r="J249" s="14" t="s">
        <v>255</v>
      </c>
      <c r="K249" s="14" t="n">
        <v>89</v>
      </c>
      <c r="L249" s="16" t="n">
        <v>452.432753896764</v>
      </c>
      <c r="M249" s="30" t="n">
        <v>28.8693217195837</v>
      </c>
      <c r="N249" s="16" t="n">
        <v>63.1832372137017</v>
      </c>
      <c r="O249" s="16" t="n">
        <v>-25.4683445823567</v>
      </c>
      <c r="P249" s="16" t="n">
        <v>-9.42872315783627</v>
      </c>
      <c r="Q249" s="16" t="n">
        <v>0.00165732670964526</v>
      </c>
      <c r="R249" s="16" t="n">
        <v>-15.8351463863867</v>
      </c>
      <c r="S249" s="16" t="n">
        <v>0</v>
      </c>
      <c r="T249" s="16" t="n">
        <v>37.9210249961884</v>
      </c>
      <c r="U249" s="16" t="n">
        <v>8.39489555421115</v>
      </c>
      <c r="V249" s="16" t="n">
        <v>19.1734921195316</v>
      </c>
      <c r="W249" s="16" t="n">
        <v>492.125</v>
      </c>
      <c r="X249" s="16" t="n">
        <v>11.90625</v>
      </c>
      <c r="Y249" s="16" t="n">
        <v>11.90625</v>
      </c>
      <c r="Z249" s="16" t="n">
        <v>0</v>
      </c>
      <c r="AA249" s="16" t="n">
        <v>0</v>
      </c>
      <c r="AB249" s="16" t="n">
        <v>0</v>
      </c>
      <c r="AC249" s="16" t="n">
        <v>480.21875</v>
      </c>
      <c r="AD249" s="16" t="n">
        <v>41.7728258899796</v>
      </c>
      <c r="AE249" s="16" t="n">
        <v>0</v>
      </c>
      <c r="AF249" s="16" t="n">
        <v>0</v>
      </c>
      <c r="AG249" s="16" t="n">
        <v>41.7728258899796</v>
      </c>
      <c r="AH249" s="16" t="n">
        <v>8.73667843086791</v>
      </c>
      <c r="AI249" s="16" t="n">
        <v>8.73667843086791</v>
      </c>
      <c r="AJ249" s="16" t="n">
        <v>1.6245</v>
      </c>
      <c r="AK249" s="16" t="n">
        <v>3.625</v>
      </c>
      <c r="AL249" s="16" t="n">
        <v>1.25</v>
      </c>
      <c r="AM249" s="16" t="n">
        <v>0</v>
      </c>
      <c r="AN249" s="16" t="n">
        <v>584.61057588998</v>
      </c>
      <c r="AO249" s="16" t="n">
        <v>0</v>
      </c>
      <c r="AP249" s="16" t="n">
        <v>41.7728258899796</v>
      </c>
      <c r="AQ249" s="14" t="n">
        <v>252.02717411002</v>
      </c>
      <c r="AR249" s="14" t="s">
        <v>521</v>
      </c>
      <c r="AS249" s="29" t="n">
        <v>46327</v>
      </c>
      <c r="AT249" s="14" t="n">
        <v>222.260166988458</v>
      </c>
      <c r="AU249" s="17" t="n">
        <v>2.6302984642333</v>
      </c>
      <c r="AV249" s="17" t="n">
        <v>6.11059623452625</v>
      </c>
      <c r="AW249" s="16" t="n">
        <v>0</v>
      </c>
      <c r="AX249" s="14" t="s">
        <v>257</v>
      </c>
      <c r="AY249" s="14" t="s">
        <v>257</v>
      </c>
      <c r="AZ249" s="14" t="s">
        <v>455</v>
      </c>
      <c r="BA249" s="14" t="s">
        <v>259</v>
      </c>
      <c r="BB249" s="14" t="s">
        <v>541</v>
      </c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</row>
    <row r="250" customFormat="false" ht="15" hidden="false" customHeight="false" outlineLevel="0" collapsed="false">
      <c r="C250" s="14" t="s">
        <v>284</v>
      </c>
      <c r="D250" s="14" t="s">
        <v>285</v>
      </c>
      <c r="E250" s="14" t="s">
        <v>346</v>
      </c>
      <c r="F250" s="14" t="s">
        <v>335</v>
      </c>
      <c r="G250" s="29" t="n">
        <v>47239</v>
      </c>
      <c r="H250" s="29" t="n">
        <v>47330</v>
      </c>
      <c r="I250" s="14" t="s">
        <v>342</v>
      </c>
      <c r="J250" s="14" t="s">
        <v>271</v>
      </c>
      <c r="K250" s="14" t="n">
        <v>92</v>
      </c>
      <c r="L250" s="16" t="n">
        <v>495.223474557243</v>
      </c>
      <c r="M250" s="30" t="n">
        <v>27.6901735836919</v>
      </c>
      <c r="N250" s="16" t="n">
        <v>63.3196378606049</v>
      </c>
      <c r="O250" s="16" t="n">
        <v>-27.8771198297763</v>
      </c>
      <c r="P250" s="16" t="n">
        <v>-8.86062950770715</v>
      </c>
      <c r="Q250" s="16" t="n">
        <v>0.00182875074658537</v>
      </c>
      <c r="R250" s="16" t="n">
        <v>-17.3328216095035</v>
      </c>
      <c r="S250" s="16" t="n">
        <v>0</v>
      </c>
      <c r="T250" s="16" t="n">
        <v>37.1280154941409</v>
      </c>
      <c r="U250" s="16" t="n">
        <v>19.1734921195316</v>
      </c>
      <c r="V250" s="16" t="n">
        <v>20.5267239239261</v>
      </c>
      <c r="W250" s="16" t="n">
        <v>480.21875</v>
      </c>
      <c r="X250" s="16" t="n">
        <v>11.90625</v>
      </c>
      <c r="Y250" s="16" t="n">
        <v>11.90625</v>
      </c>
      <c r="Z250" s="16" t="n">
        <v>0</v>
      </c>
      <c r="AA250" s="16" t="n">
        <v>0</v>
      </c>
      <c r="AB250" s="16" t="n">
        <v>0</v>
      </c>
      <c r="AC250" s="16" t="n">
        <v>468.3125</v>
      </c>
      <c r="AD250" s="16" t="n">
        <v>41.7728258899796</v>
      </c>
      <c r="AE250" s="16" t="n">
        <v>0</v>
      </c>
      <c r="AF250" s="16" t="n">
        <v>8.909457138838</v>
      </c>
      <c r="AG250" s="16" t="n">
        <v>32.8633687511415</v>
      </c>
      <c r="AH250" s="16" t="n">
        <v>8.45957655090832</v>
      </c>
      <c r="AI250" s="16" t="n">
        <v>8.45957655090832</v>
      </c>
      <c r="AJ250" s="16" t="n">
        <v>1.6245</v>
      </c>
      <c r="AK250" s="16" t="n">
        <v>3.625</v>
      </c>
      <c r="AL250" s="16" t="n">
        <v>1.25</v>
      </c>
      <c r="AM250" s="16" t="n">
        <v>0</v>
      </c>
      <c r="AN250" s="16" t="n">
        <v>563.794868751142</v>
      </c>
      <c r="AO250" s="16" t="n">
        <v>0</v>
      </c>
      <c r="AP250" s="16" t="n">
        <v>40.2435460802531</v>
      </c>
      <c r="AQ250" s="14" t="n">
        <v>260.936631248859</v>
      </c>
      <c r="AR250" s="14" t="s">
        <v>521</v>
      </c>
      <c r="AS250" s="29" t="n">
        <v>46327</v>
      </c>
      <c r="AT250" s="14" t="n">
        <v>222.258583957936</v>
      </c>
      <c r="AU250" s="17" t="n">
        <v>2.53666184095658</v>
      </c>
      <c r="AV250" s="17" t="n">
        <v>6.29321100940491</v>
      </c>
      <c r="AW250" s="16" t="n">
        <v>0</v>
      </c>
      <c r="AX250" s="14" t="s">
        <v>257</v>
      </c>
      <c r="AY250" s="14" t="s">
        <v>257</v>
      </c>
      <c r="AZ250" s="14" t="s">
        <v>455</v>
      </c>
      <c r="BA250" s="14" t="s">
        <v>259</v>
      </c>
      <c r="BB250" s="14" t="s">
        <v>542</v>
      </c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</row>
    <row r="251" customFormat="false" ht="15" hidden="false" customHeight="false" outlineLevel="0" collapsed="false">
      <c r="C251" s="14" t="s">
        <v>284</v>
      </c>
      <c r="D251" s="14" t="s">
        <v>285</v>
      </c>
      <c r="E251" s="14" t="s">
        <v>348</v>
      </c>
      <c r="F251" s="14" t="s">
        <v>335</v>
      </c>
      <c r="G251" s="29" t="n">
        <v>47331</v>
      </c>
      <c r="H251" s="29" t="n">
        <v>47422</v>
      </c>
      <c r="I251" s="14" t="s">
        <v>342</v>
      </c>
      <c r="J251" s="14" t="s">
        <v>288</v>
      </c>
      <c r="K251" s="14" t="n">
        <v>92</v>
      </c>
      <c r="L251" s="16" t="n">
        <v>489.797017236892</v>
      </c>
      <c r="M251" s="30" t="n">
        <v>27.9159174302794</v>
      </c>
      <c r="N251" s="16" t="n">
        <v>63.7314936618185</v>
      </c>
      <c r="O251" s="16" t="n">
        <v>-27.5716536942991</v>
      </c>
      <c r="P251" s="16" t="n">
        <v>-9.03995999187983</v>
      </c>
      <c r="Q251" s="16" t="n">
        <v>0.00180593326573163</v>
      </c>
      <c r="R251" s="16" t="n">
        <v>-17.1428956032912</v>
      </c>
      <c r="S251" s="16" t="n">
        <v>0</v>
      </c>
      <c r="T251" s="16" t="n">
        <v>37.5504439999131</v>
      </c>
      <c r="U251" s="16" t="n">
        <v>20.5267239239261</v>
      </c>
      <c r="V251" s="16" t="n">
        <v>20.7917746199627</v>
      </c>
      <c r="W251" s="16" t="n">
        <v>468.3125</v>
      </c>
      <c r="X251" s="16" t="n">
        <v>11.90625</v>
      </c>
      <c r="Y251" s="16" t="n">
        <v>11.90625</v>
      </c>
      <c r="Z251" s="16" t="n">
        <v>0</v>
      </c>
      <c r="AA251" s="16" t="n">
        <v>0</v>
      </c>
      <c r="AB251" s="16" t="n">
        <v>0</v>
      </c>
      <c r="AC251" s="16" t="n">
        <v>456.40625</v>
      </c>
      <c r="AD251" s="16" t="n">
        <v>32.8633687511415</v>
      </c>
      <c r="AE251" s="16" t="n">
        <v>0</v>
      </c>
      <c r="AF251" s="16" t="n">
        <v>10.786205545666</v>
      </c>
      <c r="AG251" s="16" t="n">
        <v>22.0771632054755</v>
      </c>
      <c r="AH251" s="16" t="n">
        <v>8.09343775821051</v>
      </c>
      <c r="AI251" s="16" t="n">
        <v>8.09343775821051</v>
      </c>
      <c r="AJ251" s="16" t="n">
        <v>1.6245</v>
      </c>
      <c r="AK251" s="16" t="n">
        <v>3.625</v>
      </c>
      <c r="AL251" s="16" t="n">
        <v>1.25</v>
      </c>
      <c r="AM251" s="16" t="n">
        <v>0</v>
      </c>
      <c r="AN251" s="16" t="n">
        <v>541.102413205476</v>
      </c>
      <c r="AO251" s="16" t="n">
        <v>0</v>
      </c>
      <c r="AP251" s="16" t="n">
        <v>29.7216676351858</v>
      </c>
      <c r="AQ251" s="14" t="n">
        <v>271.722836794525</v>
      </c>
      <c r="AR251" s="14" t="s">
        <v>521</v>
      </c>
      <c r="AS251" s="29" t="n">
        <v>46327</v>
      </c>
      <c r="AT251" s="14" t="n">
        <v>222.256990630761</v>
      </c>
      <c r="AU251" s="17" t="n">
        <v>2.43457995030814</v>
      </c>
      <c r="AV251" s="17" t="n">
        <v>6.49457765858843</v>
      </c>
      <c r="AW251" s="16" t="n">
        <v>0</v>
      </c>
      <c r="AX251" s="14" t="s">
        <v>257</v>
      </c>
      <c r="AY251" s="14" t="s">
        <v>257</v>
      </c>
      <c r="AZ251" s="14" t="s">
        <v>455</v>
      </c>
      <c r="BA251" s="14" t="s">
        <v>259</v>
      </c>
      <c r="BB251" s="14" t="s">
        <v>543</v>
      </c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</row>
    <row r="252" customFormat="false" ht="15" hidden="false" customHeight="false" outlineLevel="0" collapsed="false">
      <c r="C252" s="14" t="s">
        <v>284</v>
      </c>
      <c r="D252" s="14" t="s">
        <v>285</v>
      </c>
      <c r="E252" s="14" t="s">
        <v>350</v>
      </c>
      <c r="F252" s="14" t="s">
        <v>335</v>
      </c>
      <c r="G252" s="29" t="n">
        <v>47423</v>
      </c>
      <c r="H252" s="29" t="n">
        <v>47514</v>
      </c>
      <c r="I252" s="14" t="s">
        <v>351</v>
      </c>
      <c r="J252" s="14" t="s">
        <v>303</v>
      </c>
      <c r="K252" s="14" t="n">
        <v>92</v>
      </c>
      <c r="L252" s="16" t="n">
        <v>399.993997000213</v>
      </c>
      <c r="M252" s="30" t="n">
        <v>22.9096754759419</v>
      </c>
      <c r="N252" s="16" t="n">
        <v>32.0218213290888</v>
      </c>
      <c r="O252" s="16" t="n">
        <v>-22.516462079136</v>
      </c>
      <c r="P252" s="16" t="n">
        <v>-2.37633981248821</v>
      </c>
      <c r="Q252" s="16" t="n">
        <v>0.00152514537589204</v>
      </c>
      <c r="R252" s="16" t="n">
        <v>-13.9997898950074</v>
      </c>
      <c r="S252" s="16" t="n">
        <v>0</v>
      </c>
      <c r="T252" s="16" t="n">
        <v>15.6472167669691</v>
      </c>
      <c r="U252" s="16" t="n">
        <v>20.7917746199627</v>
      </c>
      <c r="V252" s="16" t="n">
        <v>10.2947446844069</v>
      </c>
      <c r="W252" s="16" t="n">
        <v>456.40625</v>
      </c>
      <c r="X252" s="16" t="n">
        <v>11.90625</v>
      </c>
      <c r="Y252" s="16" t="n">
        <v>11.90625</v>
      </c>
      <c r="Z252" s="16" t="n">
        <v>0</v>
      </c>
      <c r="AA252" s="16" t="n">
        <v>0</v>
      </c>
      <c r="AB252" s="16" t="n">
        <v>0</v>
      </c>
      <c r="AC252" s="16" t="n">
        <v>444.5</v>
      </c>
      <c r="AD252" s="16" t="n">
        <v>22.0771632054755</v>
      </c>
      <c r="AE252" s="16" t="n">
        <v>0</v>
      </c>
      <c r="AF252" s="16" t="n">
        <v>0</v>
      </c>
      <c r="AG252" s="16" t="n">
        <v>22.0771632054755</v>
      </c>
      <c r="AH252" s="16" t="n">
        <v>7.82649670252494</v>
      </c>
      <c r="AI252" s="16" t="n">
        <v>7.82649670252494</v>
      </c>
      <c r="AJ252" s="16" t="n">
        <v>1.5365</v>
      </c>
      <c r="AK252" s="16" t="n">
        <v>3.625</v>
      </c>
      <c r="AL252" s="16" t="n">
        <v>1.25</v>
      </c>
      <c r="AM252" s="16" t="n">
        <v>0</v>
      </c>
      <c r="AN252" s="16" t="n">
        <v>529.196163205476</v>
      </c>
      <c r="AO252" s="16" t="n">
        <v>0</v>
      </c>
      <c r="AP252" s="16" t="n">
        <v>22.0771632054755</v>
      </c>
      <c r="AQ252" s="14" t="n">
        <v>271.722836794525</v>
      </c>
      <c r="AR252" s="14" t="s">
        <v>521</v>
      </c>
      <c r="AS252" s="29" t="n">
        <v>46327</v>
      </c>
      <c r="AT252" s="14" t="n">
        <v>222.256190065214</v>
      </c>
      <c r="AU252" s="17" t="n">
        <v>2.38101878309981</v>
      </c>
      <c r="AV252" s="17" t="n">
        <v>6.71140592582493</v>
      </c>
      <c r="AW252" s="16" t="n">
        <v>0</v>
      </c>
      <c r="AX252" s="14" t="s">
        <v>257</v>
      </c>
      <c r="AY252" s="14" t="s">
        <v>257</v>
      </c>
      <c r="AZ252" s="14" t="s">
        <v>455</v>
      </c>
      <c r="BA252" s="14" t="s">
        <v>259</v>
      </c>
      <c r="BB252" s="14" t="s">
        <v>544</v>
      </c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</row>
    <row r="253" customFormat="false" ht="15" hidden="false" customHeight="false" outlineLevel="0" collapsed="false">
      <c r="C253" s="14" t="s">
        <v>284</v>
      </c>
      <c r="D253" s="14" t="s">
        <v>285</v>
      </c>
      <c r="E253" s="14" t="s">
        <v>353</v>
      </c>
      <c r="F253" s="14" t="s">
        <v>335</v>
      </c>
      <c r="G253" s="29" t="n">
        <v>47515</v>
      </c>
      <c r="H253" s="29" t="n">
        <v>47603</v>
      </c>
      <c r="I253" s="14" t="s">
        <v>351</v>
      </c>
      <c r="J253" s="14" t="s">
        <v>255</v>
      </c>
      <c r="K253" s="14" t="n">
        <v>89</v>
      </c>
      <c r="L253" s="16" t="n">
        <v>452.421443077917</v>
      </c>
      <c r="M253" s="30" t="n">
        <v>28.8693217195837</v>
      </c>
      <c r="N253" s="16" t="n">
        <v>63.1816576327714</v>
      </c>
      <c r="O253" s="16" t="n">
        <v>-25.4677078737421</v>
      </c>
      <c r="P253" s="16" t="n">
        <v>-9.42848743975732</v>
      </c>
      <c r="Q253" s="16" t="n">
        <v>0.00165728527647751</v>
      </c>
      <c r="R253" s="16" t="n">
        <v>-15.8347505077271</v>
      </c>
      <c r="S253" s="16" t="n">
        <v>0</v>
      </c>
      <c r="T253" s="16" t="n">
        <v>37.9200769705635</v>
      </c>
      <c r="U253" s="16" t="n">
        <v>10.2947446844069</v>
      </c>
      <c r="V253" s="16" t="n">
        <v>21.0812334360852</v>
      </c>
      <c r="W253" s="16" t="n">
        <v>444.5</v>
      </c>
      <c r="X253" s="16" t="n">
        <v>11.90625</v>
      </c>
      <c r="Y253" s="16" t="n">
        <v>11.90625</v>
      </c>
      <c r="Z253" s="16" t="n">
        <v>0</v>
      </c>
      <c r="AA253" s="16" t="n">
        <v>0</v>
      </c>
      <c r="AB253" s="16" t="n">
        <v>0</v>
      </c>
      <c r="AC253" s="16" t="n">
        <v>432.59375</v>
      </c>
      <c r="AD253" s="16" t="n">
        <v>22.0771632054755</v>
      </c>
      <c r="AE253" s="16" t="n">
        <v>0</v>
      </c>
      <c r="AF253" s="16" t="n">
        <v>1.19471325521851</v>
      </c>
      <c r="AG253" s="16" t="n">
        <v>20.882449950257</v>
      </c>
      <c r="AH253" s="16" t="n">
        <v>7.62112496366664</v>
      </c>
      <c r="AI253" s="16" t="n">
        <v>7.62112496366664</v>
      </c>
      <c r="AJ253" s="16" t="n">
        <v>1.5365</v>
      </c>
      <c r="AK253" s="16" t="n">
        <v>3.625</v>
      </c>
      <c r="AL253" s="16" t="n">
        <v>1.25</v>
      </c>
      <c r="AM253" s="16" t="n">
        <v>0</v>
      </c>
      <c r="AN253" s="16" t="n">
        <v>516.095199950257</v>
      </c>
      <c r="AO253" s="16" t="n">
        <v>0</v>
      </c>
      <c r="AP253" s="16" t="n">
        <v>22.0771632054755</v>
      </c>
      <c r="AQ253" s="14" t="n">
        <v>272.917550049743</v>
      </c>
      <c r="AR253" s="14" t="s">
        <v>521</v>
      </c>
      <c r="AS253" s="29" t="n">
        <v>46327</v>
      </c>
      <c r="AT253" s="14" t="n">
        <v>222.254610484284</v>
      </c>
      <c r="AU253" s="17" t="n">
        <v>2.32208996171421</v>
      </c>
      <c r="AV253" s="17" t="n">
        <v>6.94531854478644</v>
      </c>
      <c r="AW253" s="16" t="n">
        <v>0</v>
      </c>
      <c r="AX253" s="14" t="s">
        <v>257</v>
      </c>
      <c r="AY253" s="14" t="s">
        <v>257</v>
      </c>
      <c r="AZ253" s="14" t="s">
        <v>455</v>
      </c>
      <c r="BA253" s="14" t="s">
        <v>259</v>
      </c>
      <c r="BB253" s="14" t="s">
        <v>545</v>
      </c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</row>
    <row r="254" customFormat="false" ht="15" hidden="false" customHeight="false" outlineLevel="0" collapsed="false">
      <c r="C254" s="14" t="s">
        <v>284</v>
      </c>
      <c r="D254" s="14" t="s">
        <v>285</v>
      </c>
      <c r="E254" s="14" t="s">
        <v>355</v>
      </c>
      <c r="F254" s="14" t="s">
        <v>335</v>
      </c>
      <c r="G254" s="29" t="n">
        <v>47604</v>
      </c>
      <c r="H254" s="29" t="n">
        <v>47695</v>
      </c>
      <c r="I254" s="14" t="s">
        <v>351</v>
      </c>
      <c r="J254" s="14" t="s">
        <v>271</v>
      </c>
      <c r="K254" s="14" t="n">
        <v>92</v>
      </c>
      <c r="L254" s="16" t="n">
        <v>495.211093970379</v>
      </c>
      <c r="M254" s="30" t="n">
        <v>27.6901735836919</v>
      </c>
      <c r="N254" s="16" t="n">
        <v>63.3180548696584</v>
      </c>
      <c r="O254" s="16" t="n">
        <v>-27.8764229017806</v>
      </c>
      <c r="P254" s="16" t="n">
        <v>-8.86040799196946</v>
      </c>
      <c r="Q254" s="16" t="n">
        <v>0.00182870502781671</v>
      </c>
      <c r="R254" s="16" t="n">
        <v>-17.3323882889633</v>
      </c>
      <c r="S254" s="16" t="n">
        <v>0</v>
      </c>
      <c r="T254" s="16" t="n">
        <v>37.1270872937535</v>
      </c>
      <c r="U254" s="16" t="n">
        <v>21.0812334360852</v>
      </c>
      <c r="V254" s="16" t="n">
        <v>20.9458503189761</v>
      </c>
      <c r="W254" s="16" t="n">
        <v>432.59375</v>
      </c>
      <c r="X254" s="16" t="n">
        <v>11.90625</v>
      </c>
      <c r="Y254" s="16" t="n">
        <v>11.90625</v>
      </c>
      <c r="Z254" s="16" t="n">
        <v>0</v>
      </c>
      <c r="AA254" s="16" t="n">
        <v>0</v>
      </c>
      <c r="AB254" s="16" t="n">
        <v>0</v>
      </c>
      <c r="AC254" s="16" t="n">
        <v>420.6875</v>
      </c>
      <c r="AD254" s="16" t="n">
        <v>20.882449950257</v>
      </c>
      <c r="AE254" s="16" t="n">
        <v>0</v>
      </c>
      <c r="AF254" s="16" t="n">
        <v>11.6456724038288</v>
      </c>
      <c r="AG254" s="16" t="n">
        <v>9.23677754642827</v>
      </c>
      <c r="AH254" s="16" t="n">
        <v>7.29904800703376</v>
      </c>
      <c r="AI254" s="16" t="n">
        <v>7.29904800703376</v>
      </c>
      <c r="AJ254" s="16" t="n">
        <v>1.5365</v>
      </c>
      <c r="AK254" s="16" t="n">
        <v>3.625</v>
      </c>
      <c r="AL254" s="16" t="n">
        <v>1.25</v>
      </c>
      <c r="AM254" s="16" t="n">
        <v>0</v>
      </c>
      <c r="AN254" s="16" t="n">
        <v>492.543277546428</v>
      </c>
      <c r="AO254" s="16" t="n">
        <v>0</v>
      </c>
      <c r="AP254" s="16" t="n">
        <v>17.0349370444025</v>
      </c>
      <c r="AQ254" s="14" t="n">
        <v>284.563222453572</v>
      </c>
      <c r="AR254" s="14" t="s">
        <v>521</v>
      </c>
      <c r="AS254" s="29" t="n">
        <v>46327</v>
      </c>
      <c r="AT254" s="14" t="n">
        <v>222.253027493337</v>
      </c>
      <c r="AU254" s="17" t="n">
        <v>2.2161375397291</v>
      </c>
      <c r="AV254" s="17" t="n">
        <v>7.20662299855644</v>
      </c>
      <c r="AW254" s="16" t="n">
        <v>0</v>
      </c>
      <c r="AX254" s="14" t="s">
        <v>257</v>
      </c>
      <c r="AY254" s="14" t="s">
        <v>257</v>
      </c>
      <c r="AZ254" s="14" t="s">
        <v>455</v>
      </c>
      <c r="BA254" s="14" t="s">
        <v>259</v>
      </c>
      <c r="BB254" s="14" t="s">
        <v>546</v>
      </c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</row>
    <row r="255" customFormat="false" ht="15" hidden="false" customHeight="false" outlineLevel="0" collapsed="false">
      <c r="C255" s="14" t="s">
        <v>284</v>
      </c>
      <c r="D255" s="14" t="s">
        <v>285</v>
      </c>
      <c r="E255" s="14" t="s">
        <v>357</v>
      </c>
      <c r="F255" s="14" t="s">
        <v>335</v>
      </c>
      <c r="G255" s="29" t="n">
        <v>47696</v>
      </c>
      <c r="H255" s="29" t="n">
        <v>47787</v>
      </c>
      <c r="I255" s="14" t="s">
        <v>351</v>
      </c>
      <c r="J255" s="14" t="s">
        <v>288</v>
      </c>
      <c r="K255" s="14" t="n">
        <v>92</v>
      </c>
      <c r="L255" s="16" t="n">
        <v>489.784772311461</v>
      </c>
      <c r="M255" s="30" t="n">
        <v>27.9159174302794</v>
      </c>
      <c r="N255" s="16" t="n">
        <v>63.7299003744769</v>
      </c>
      <c r="O255" s="16" t="n">
        <v>-27.5709644029568</v>
      </c>
      <c r="P255" s="16" t="n">
        <v>-9.03973399288004</v>
      </c>
      <c r="Q255" s="16" t="n">
        <v>0.00180588811739999</v>
      </c>
      <c r="R255" s="16" t="n">
        <v>-17.1424670309011</v>
      </c>
      <c r="S255" s="16" t="n">
        <v>0</v>
      </c>
      <c r="T255" s="16" t="n">
        <v>37.5495052388131</v>
      </c>
      <c r="U255" s="16" t="n">
        <v>20.9458503189761</v>
      </c>
      <c r="V255" s="16" t="n">
        <v>24.0095749740076</v>
      </c>
      <c r="W255" s="16" t="n">
        <v>420.6875</v>
      </c>
      <c r="X255" s="16" t="n">
        <v>11.90625</v>
      </c>
      <c r="Y255" s="16" t="n">
        <v>11.90625</v>
      </c>
      <c r="Z255" s="16" t="n">
        <v>0</v>
      </c>
      <c r="AA255" s="16" t="n">
        <v>0</v>
      </c>
      <c r="AB255" s="16" t="n">
        <v>0</v>
      </c>
      <c r="AC255" s="16" t="n">
        <v>408.78125</v>
      </c>
      <c r="AD255" s="16" t="n">
        <v>9.23677754642827</v>
      </c>
      <c r="AE255" s="16" t="n">
        <v>0</v>
      </c>
      <c r="AF255" s="16" t="n">
        <v>9.23677754642827</v>
      </c>
      <c r="AG255" s="16" t="n">
        <v>0</v>
      </c>
      <c r="AH255" s="16" t="n">
        <v>6.93125303735336</v>
      </c>
      <c r="AI255" s="16" t="n">
        <v>6.93125303735336</v>
      </c>
      <c r="AJ255" s="16" t="n">
        <v>1.5365</v>
      </c>
      <c r="AK255" s="16" t="n">
        <v>3.625</v>
      </c>
      <c r="AL255" s="16" t="n">
        <v>1.25</v>
      </c>
      <c r="AM255" s="16" t="n">
        <v>0</v>
      </c>
      <c r="AN255" s="16" t="n">
        <v>471.40025</v>
      </c>
      <c r="AO255" s="16" t="n">
        <v>0</v>
      </c>
      <c r="AP255" s="16" t="n">
        <v>5.25452615422892</v>
      </c>
      <c r="AQ255" s="14" t="n">
        <v>293.8</v>
      </c>
      <c r="AR255" s="14" t="s">
        <v>521</v>
      </c>
      <c r="AS255" s="29" t="n">
        <v>46327</v>
      </c>
      <c r="AT255" s="14" t="n">
        <v>222.251434205996</v>
      </c>
      <c r="AU255" s="17" t="n">
        <v>2.12102230828836</v>
      </c>
      <c r="AV255" s="17" t="n">
        <v>7.48878000571024</v>
      </c>
      <c r="AW255" s="16" t="n">
        <v>0</v>
      </c>
      <c r="AX255" s="14" t="s">
        <v>257</v>
      </c>
      <c r="AY255" s="14" t="s">
        <v>257</v>
      </c>
      <c r="AZ255" s="14" t="s">
        <v>455</v>
      </c>
      <c r="BA255" s="14" t="s">
        <v>259</v>
      </c>
      <c r="BB255" s="14" t="s">
        <v>547</v>
      </c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</row>
    <row r="256" customFormat="false" ht="15" hidden="false" customHeight="false" outlineLevel="0" collapsed="false">
      <c r="C256" s="14" t="s">
        <v>284</v>
      </c>
      <c r="D256" s="14" t="s">
        <v>285</v>
      </c>
      <c r="E256" s="14" t="s">
        <v>359</v>
      </c>
      <c r="F256" s="14" t="s">
        <v>335</v>
      </c>
      <c r="G256" s="29" t="n">
        <v>47788</v>
      </c>
      <c r="H256" s="29" t="n">
        <v>47879</v>
      </c>
      <c r="I256" s="14" t="s">
        <v>360</v>
      </c>
      <c r="J256" s="14" t="s">
        <v>303</v>
      </c>
      <c r="K256" s="14" t="n">
        <v>92</v>
      </c>
      <c r="L256" s="16" t="n">
        <v>399.983997150288</v>
      </c>
      <c r="M256" s="30" t="n">
        <v>22.9096754759419</v>
      </c>
      <c r="N256" s="16" t="n">
        <v>32.0210207835556</v>
      </c>
      <c r="O256" s="16" t="n">
        <v>-22.515899167584</v>
      </c>
      <c r="P256" s="16" t="n">
        <v>-2.3762804039929</v>
      </c>
      <c r="Q256" s="16" t="n">
        <v>0.00152510724725765</v>
      </c>
      <c r="R256" s="16" t="n">
        <v>-13.9994399002601</v>
      </c>
      <c r="S256" s="16" t="n">
        <v>0</v>
      </c>
      <c r="T256" s="16" t="n">
        <v>15.6468255865499</v>
      </c>
      <c r="U256" s="16" t="n">
        <v>24.0095749740076</v>
      </c>
      <c r="V256" s="16" t="n">
        <v>14.6570118886825</v>
      </c>
      <c r="W256" s="16" t="n">
        <v>408.78125</v>
      </c>
      <c r="X256" s="16" t="n">
        <v>11.90625</v>
      </c>
      <c r="Y256" s="16" t="n">
        <v>11.90625</v>
      </c>
      <c r="Z256" s="16" t="n">
        <v>0</v>
      </c>
      <c r="AA256" s="16" t="n">
        <v>396.875</v>
      </c>
      <c r="AB256" s="16" t="n">
        <v>0</v>
      </c>
      <c r="AC256" s="16" t="n">
        <v>396.875</v>
      </c>
      <c r="AD256" s="16" t="n">
        <v>0</v>
      </c>
      <c r="AE256" s="16" t="n">
        <v>0</v>
      </c>
      <c r="AF256" s="16" t="n">
        <v>0</v>
      </c>
      <c r="AG256" s="16" t="n">
        <v>0</v>
      </c>
      <c r="AH256" s="16" t="n">
        <v>6.681638671875</v>
      </c>
      <c r="AI256" s="16" t="n">
        <v>6.681638671875</v>
      </c>
      <c r="AJ256" s="16" t="n">
        <v>1.5365</v>
      </c>
      <c r="AK256" s="16" t="n">
        <v>3.625</v>
      </c>
      <c r="AL256" s="16" t="n">
        <v>1.25</v>
      </c>
      <c r="AM256" s="16" t="n">
        <v>0</v>
      </c>
      <c r="AN256" s="16" t="n">
        <v>459.494</v>
      </c>
      <c r="AO256" s="16" t="n">
        <v>0</v>
      </c>
      <c r="AP256" s="16" t="n">
        <v>0</v>
      </c>
      <c r="AQ256" s="14" t="n">
        <v>0</v>
      </c>
      <c r="AR256" s="14" t="s">
        <v>521</v>
      </c>
      <c r="AS256" s="29" t="n">
        <v>46327</v>
      </c>
      <c r="AT256" s="14" t="n">
        <v>222.250633660462</v>
      </c>
      <c r="AU256" s="17" t="n">
        <v>2.06745867236527</v>
      </c>
      <c r="AV256" s="17" t="n">
        <v>7.7892310606509</v>
      </c>
      <c r="AW256" s="16" t="n">
        <v>396.875</v>
      </c>
      <c r="AX256" s="14" t="s">
        <v>361</v>
      </c>
      <c r="AY256" s="14" t="s">
        <v>257</v>
      </c>
      <c r="AZ256" s="14" t="s">
        <v>455</v>
      </c>
      <c r="BA256" s="14" t="s">
        <v>259</v>
      </c>
      <c r="BB256" s="14" t="s">
        <v>548</v>
      </c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</row>
    <row r="257" customFormat="false" ht="15" hidden="false" customHeight="false" outlineLevel="0" collapsed="false">
      <c r="C257" s="14" t="s">
        <v>290</v>
      </c>
      <c r="D257" s="14" t="s">
        <v>291</v>
      </c>
      <c r="E257" s="14" t="s">
        <v>252</v>
      </c>
      <c r="F257" s="14" t="s">
        <v>253</v>
      </c>
      <c r="G257" s="29" t="n">
        <v>46054</v>
      </c>
      <c r="H257" s="29" t="n">
        <v>46081</v>
      </c>
      <c r="I257" s="14" t="s">
        <v>254</v>
      </c>
      <c r="J257" s="14" t="s">
        <v>255</v>
      </c>
      <c r="K257" s="14" t="n">
        <v>28</v>
      </c>
      <c r="L257" s="16" t="n">
        <v>38.45966848425</v>
      </c>
      <c r="M257" s="30" t="n">
        <v>28.8693217195837</v>
      </c>
      <c r="N257" s="16" t="n">
        <v>3.92874040828301</v>
      </c>
      <c r="O257" s="16" t="n">
        <v>-8.4900849345702</v>
      </c>
      <c r="P257" s="16" t="n">
        <v>-0.440942187491901</v>
      </c>
      <c r="Q257" s="16" t="n">
        <v>-18.4515796935303</v>
      </c>
      <c r="R257" s="16" t="n">
        <v>-1.34608839694875</v>
      </c>
      <c r="S257" s="16" t="n">
        <v>-0.32</v>
      </c>
      <c r="T257" s="16" t="n">
        <v>-16.629869869688</v>
      </c>
      <c r="U257" s="16" t="n">
        <v>25</v>
      </c>
      <c r="V257" s="16" t="n">
        <v>25</v>
      </c>
      <c r="W257" s="16" t="n">
        <v>635</v>
      </c>
      <c r="X257" s="16" t="n">
        <v>0</v>
      </c>
      <c r="Y257" s="16" t="n">
        <v>0</v>
      </c>
      <c r="Z257" s="16" t="n">
        <v>0</v>
      </c>
      <c r="AA257" s="16" t="n">
        <v>0</v>
      </c>
      <c r="AB257" s="16" t="n">
        <v>0</v>
      </c>
      <c r="AC257" s="16" t="n">
        <v>635</v>
      </c>
      <c r="AD257" s="16" t="n">
        <v>29.89771875</v>
      </c>
      <c r="AE257" s="16" t="n">
        <v>23.7841938031328</v>
      </c>
      <c r="AF257" s="16" t="n">
        <v>0</v>
      </c>
      <c r="AG257" s="16" t="n">
        <v>53.6819125531328</v>
      </c>
      <c r="AH257" s="16" t="n">
        <v>4.83340726677822</v>
      </c>
      <c r="AI257" s="16" t="n">
        <v>4.83340726677822</v>
      </c>
      <c r="AJ257" s="16" t="n">
        <v>0.695916666666667</v>
      </c>
      <c r="AK257" s="16" t="n">
        <v>1.20833333333333</v>
      </c>
      <c r="AL257" s="16" t="n">
        <v>0.416666666666667</v>
      </c>
      <c r="AM257" s="16" t="n">
        <v>0</v>
      </c>
      <c r="AN257" s="16" t="n">
        <v>751.300912553133</v>
      </c>
      <c r="AO257" s="16" t="n">
        <v>240.118087446867</v>
      </c>
      <c r="AP257" s="16" t="n">
        <v>53.6819125531328</v>
      </c>
      <c r="AQ257" s="14" t="n">
        <v>240.118087446867</v>
      </c>
      <c r="AR257" s="14" t="s">
        <v>256</v>
      </c>
      <c r="AS257" s="29"/>
      <c r="AT257" s="14"/>
      <c r="AU257" s="17"/>
      <c r="AV257" s="17"/>
      <c r="AW257" s="16" t="n">
        <v>0</v>
      </c>
      <c r="AX257" s="14" t="s">
        <v>257</v>
      </c>
      <c r="AY257" s="14" t="s">
        <v>257</v>
      </c>
      <c r="AZ257" s="14" t="s">
        <v>258</v>
      </c>
      <c r="BA257" s="14" t="s">
        <v>259</v>
      </c>
      <c r="BB257" s="14" t="s">
        <v>549</v>
      </c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</row>
    <row r="258" customFormat="false" ht="15" hidden="false" customHeight="false" outlineLevel="0" collapsed="false">
      <c r="C258" s="14" t="s">
        <v>290</v>
      </c>
      <c r="D258" s="14" t="s">
        <v>291</v>
      </c>
      <c r="E258" s="14" t="s">
        <v>261</v>
      </c>
      <c r="F258" s="14" t="s">
        <v>253</v>
      </c>
      <c r="G258" s="29" t="n">
        <v>46082</v>
      </c>
      <c r="H258" s="29" t="n">
        <v>46112</v>
      </c>
      <c r="I258" s="14" t="s">
        <v>254</v>
      </c>
      <c r="J258" s="14" t="s">
        <v>255</v>
      </c>
      <c r="K258" s="14" t="n">
        <v>31</v>
      </c>
      <c r="L258" s="16" t="n">
        <v>96.149171210625</v>
      </c>
      <c r="M258" s="30" t="n">
        <v>28.8693217195837</v>
      </c>
      <c r="N258" s="16" t="n">
        <v>9.82185102070751</v>
      </c>
      <c r="O258" s="16" t="n">
        <v>-8.4900849345702</v>
      </c>
      <c r="P258" s="16" t="n">
        <v>-1.10235546872975</v>
      </c>
      <c r="Q258" s="16" t="n">
        <v>-46.1289492338258</v>
      </c>
      <c r="R258" s="16" t="n">
        <v>-3.36522099237188</v>
      </c>
      <c r="S258" s="16" t="n">
        <v>-0.8</v>
      </c>
      <c r="T258" s="16" t="n">
        <v>-41.5746746742199</v>
      </c>
      <c r="U258" s="16" t="n">
        <v>25</v>
      </c>
      <c r="V258" s="16" t="n">
        <v>25</v>
      </c>
      <c r="W258" s="16" t="n">
        <v>635</v>
      </c>
      <c r="X258" s="16" t="n">
        <v>0</v>
      </c>
      <c r="Y258" s="16" t="n">
        <v>0</v>
      </c>
      <c r="Z258" s="16" t="n">
        <v>0</v>
      </c>
      <c r="AA258" s="16" t="n">
        <v>0</v>
      </c>
      <c r="AB258" s="16" t="n">
        <v>0</v>
      </c>
      <c r="AC258" s="16" t="n">
        <v>635</v>
      </c>
      <c r="AD258" s="16" t="n">
        <v>53.6819125531328</v>
      </c>
      <c r="AE258" s="16" t="n">
        <v>48.9888590505631</v>
      </c>
      <c r="AF258" s="16" t="n">
        <v>0</v>
      </c>
      <c r="AG258" s="16" t="n">
        <v>102.670771603696</v>
      </c>
      <c r="AH258" s="16" t="n">
        <v>5.09326770967658</v>
      </c>
      <c r="AI258" s="16" t="n">
        <v>5.09326770967658</v>
      </c>
      <c r="AJ258" s="16" t="n">
        <v>0.695916666666667</v>
      </c>
      <c r="AK258" s="16" t="n">
        <v>1.20833333333333</v>
      </c>
      <c r="AL258" s="16" t="n">
        <v>0.416666666666667</v>
      </c>
      <c r="AM258" s="16" t="n">
        <v>0</v>
      </c>
      <c r="AN258" s="16" t="n">
        <v>800.289771603696</v>
      </c>
      <c r="AO258" s="16" t="n">
        <v>191.129228396304</v>
      </c>
      <c r="AP258" s="16" t="n">
        <v>102.670771603696</v>
      </c>
      <c r="AQ258" s="14" t="n">
        <v>191.129228396304</v>
      </c>
      <c r="AR258" s="14" t="s">
        <v>256</v>
      </c>
      <c r="AS258" s="29"/>
      <c r="AT258" s="14"/>
      <c r="AU258" s="17"/>
      <c r="AV258" s="17"/>
      <c r="AW258" s="16" t="n">
        <v>0</v>
      </c>
      <c r="AX258" s="14" t="s">
        <v>257</v>
      </c>
      <c r="AY258" s="14" t="s">
        <v>257</v>
      </c>
      <c r="AZ258" s="14" t="s">
        <v>258</v>
      </c>
      <c r="BA258" s="14" t="s">
        <v>259</v>
      </c>
      <c r="BB258" s="14" t="s">
        <v>550</v>
      </c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</row>
    <row r="259" customFormat="false" ht="15" hidden="false" customHeight="false" outlineLevel="0" collapsed="false">
      <c r="C259" s="14" t="s">
        <v>290</v>
      </c>
      <c r="D259" s="14" t="s">
        <v>291</v>
      </c>
      <c r="E259" s="14" t="s">
        <v>266</v>
      </c>
      <c r="F259" s="14" t="s">
        <v>253</v>
      </c>
      <c r="G259" s="29" t="n">
        <v>46113</v>
      </c>
      <c r="H259" s="29" t="n">
        <v>46142</v>
      </c>
      <c r="I259" s="14" t="s">
        <v>254</v>
      </c>
      <c r="J259" s="14" t="s">
        <v>255</v>
      </c>
      <c r="K259" s="14" t="n">
        <v>30</v>
      </c>
      <c r="L259" s="16" t="n">
        <v>249.987845147625</v>
      </c>
      <c r="M259" s="30" t="n">
        <v>28.8693217195837</v>
      </c>
      <c r="N259" s="16" t="n">
        <v>25.5368126538395</v>
      </c>
      <c r="O259" s="16" t="n">
        <v>-8.4900849345702</v>
      </c>
      <c r="P259" s="16" t="n">
        <v>-2.86612421869736</v>
      </c>
      <c r="Q259" s="16" t="n">
        <v>-119.935268007947</v>
      </c>
      <c r="R259" s="16" t="n">
        <v>-8.74957458016688</v>
      </c>
      <c r="S259" s="16" t="n">
        <v>-2.08</v>
      </c>
      <c r="T259" s="16" t="n">
        <v>-108.094154152972</v>
      </c>
      <c r="U259" s="16" t="n">
        <v>25</v>
      </c>
      <c r="V259" s="16" t="n">
        <v>25</v>
      </c>
      <c r="W259" s="16" t="n">
        <v>635</v>
      </c>
      <c r="X259" s="16" t="n">
        <v>11.90625</v>
      </c>
      <c r="Y259" s="16" t="n">
        <v>11.90625</v>
      </c>
      <c r="Z259" s="16" t="n">
        <v>0</v>
      </c>
      <c r="AA259" s="16" t="n">
        <v>0</v>
      </c>
      <c r="AB259" s="16" t="n">
        <v>0</v>
      </c>
      <c r="AC259" s="16" t="n">
        <v>623.09375</v>
      </c>
      <c r="AD259" s="16" t="n">
        <v>102.670771603696</v>
      </c>
      <c r="AE259" s="16" t="n">
        <v>128.004085601468</v>
      </c>
      <c r="AF259" s="16" t="n">
        <v>0</v>
      </c>
      <c r="AG259" s="16" t="n">
        <v>230.674857205164</v>
      </c>
      <c r="AH259" s="16" t="n">
        <v>5.68276478182971</v>
      </c>
      <c r="AI259" s="16" t="n">
        <v>5.68276478182971</v>
      </c>
      <c r="AJ259" s="16" t="n">
        <v>0.695916666666667</v>
      </c>
      <c r="AK259" s="16" t="n">
        <v>1.20833333333333</v>
      </c>
      <c r="AL259" s="16" t="n">
        <v>0.416666666666667</v>
      </c>
      <c r="AM259" s="16" t="n">
        <v>0</v>
      </c>
      <c r="AN259" s="16" t="n">
        <v>916.387607205164</v>
      </c>
      <c r="AO259" s="16" t="n">
        <v>63.125142794836</v>
      </c>
      <c r="AP259" s="16" t="n">
        <v>230.674857205164</v>
      </c>
      <c r="AQ259" s="14" t="n">
        <v>63.125142794836</v>
      </c>
      <c r="AR259" s="14" t="s">
        <v>256</v>
      </c>
      <c r="AS259" s="29"/>
      <c r="AT259" s="14"/>
      <c r="AU259" s="17"/>
      <c r="AV259" s="17"/>
      <c r="AW259" s="16" t="n">
        <v>0</v>
      </c>
      <c r="AX259" s="14" t="s">
        <v>257</v>
      </c>
      <c r="AY259" s="14" t="s">
        <v>257</v>
      </c>
      <c r="AZ259" s="14" t="s">
        <v>258</v>
      </c>
      <c r="BA259" s="14" t="s">
        <v>259</v>
      </c>
      <c r="BB259" s="14" t="s">
        <v>551</v>
      </c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</row>
    <row r="260" customFormat="false" ht="15" hidden="false" customHeight="false" outlineLevel="0" collapsed="false">
      <c r="C260" s="14" t="s">
        <v>290</v>
      </c>
      <c r="D260" s="14" t="s">
        <v>291</v>
      </c>
      <c r="E260" s="14" t="s">
        <v>270</v>
      </c>
      <c r="F260" s="14" t="s">
        <v>253</v>
      </c>
      <c r="G260" s="29" t="n">
        <v>46143</v>
      </c>
      <c r="H260" s="29" t="n">
        <v>46173</v>
      </c>
      <c r="I260" s="14" t="s">
        <v>254</v>
      </c>
      <c r="J260" s="14" t="s">
        <v>271</v>
      </c>
      <c r="K260" s="14" t="n">
        <v>31</v>
      </c>
      <c r="L260" s="16" t="n">
        <v>42.097152544875</v>
      </c>
      <c r="M260" s="30" t="n">
        <v>27.6901735836919</v>
      </c>
      <c r="N260" s="16" t="n">
        <v>3.80392968059394</v>
      </c>
      <c r="O260" s="16" t="n">
        <v>-9.2930702394357</v>
      </c>
      <c r="P260" s="16" t="n">
        <v>-0.35854919238446</v>
      </c>
      <c r="Q260" s="16" t="n">
        <v>1.60146836055032</v>
      </c>
      <c r="R260" s="16" t="n">
        <v>-1.47340033907063</v>
      </c>
      <c r="S260" s="16" t="n">
        <v>-0.25</v>
      </c>
      <c r="T260" s="16" t="n">
        <v>3.32344850968918</v>
      </c>
      <c r="U260" s="16" t="n">
        <v>25</v>
      </c>
      <c r="V260" s="16" t="n">
        <v>25</v>
      </c>
      <c r="W260" s="16" t="n">
        <v>623.09375</v>
      </c>
      <c r="X260" s="16" t="n">
        <v>0</v>
      </c>
      <c r="Y260" s="16" t="n">
        <v>0</v>
      </c>
      <c r="Z260" s="16" t="n">
        <v>0</v>
      </c>
      <c r="AA260" s="16" t="n">
        <v>0</v>
      </c>
      <c r="AB260" s="16" t="n">
        <v>0</v>
      </c>
      <c r="AC260" s="16" t="n">
        <v>623.09375</v>
      </c>
      <c r="AD260" s="16" t="n">
        <v>230.674857205164</v>
      </c>
      <c r="AE260" s="16" t="n">
        <v>5.11305683387571</v>
      </c>
      <c r="AF260" s="16" t="n">
        <v>0</v>
      </c>
      <c r="AG260" s="16" t="n">
        <v>235.78791403904</v>
      </c>
      <c r="AH260" s="16" t="n">
        <v>6.11558867689822</v>
      </c>
      <c r="AI260" s="16" t="n">
        <v>6.11558867689822</v>
      </c>
      <c r="AJ260" s="16" t="n">
        <v>0.695916666666667</v>
      </c>
      <c r="AK260" s="16" t="n">
        <v>1.20833333333333</v>
      </c>
      <c r="AL260" s="16" t="n">
        <v>0.416666666666667</v>
      </c>
      <c r="AM260" s="16" t="n">
        <v>0</v>
      </c>
      <c r="AN260" s="16" t="n">
        <v>921.50066403904</v>
      </c>
      <c r="AO260" s="16" t="n">
        <v>58.0120859609603</v>
      </c>
      <c r="AP260" s="16" t="n">
        <v>235.78791403904</v>
      </c>
      <c r="AQ260" s="14" t="n">
        <v>58.0120859609603</v>
      </c>
      <c r="AR260" s="14" t="s">
        <v>256</v>
      </c>
      <c r="AS260" s="29"/>
      <c r="AT260" s="14"/>
      <c r="AU260" s="17"/>
      <c r="AV260" s="17"/>
      <c r="AW260" s="16" t="n">
        <v>0</v>
      </c>
      <c r="AX260" s="14" t="s">
        <v>257</v>
      </c>
      <c r="AY260" s="14" t="s">
        <v>257</v>
      </c>
      <c r="AZ260" s="14" t="s">
        <v>258</v>
      </c>
      <c r="BA260" s="14" t="s">
        <v>259</v>
      </c>
      <c r="BB260" s="14" t="s">
        <v>552</v>
      </c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</row>
    <row r="261" customFormat="false" ht="15" hidden="false" customHeight="false" outlineLevel="0" collapsed="false">
      <c r="C261" s="14" t="s">
        <v>290</v>
      </c>
      <c r="D261" s="14" t="s">
        <v>291</v>
      </c>
      <c r="E261" s="14" t="s">
        <v>277</v>
      </c>
      <c r="F261" s="14" t="s">
        <v>253</v>
      </c>
      <c r="G261" s="29" t="n">
        <v>46174</v>
      </c>
      <c r="H261" s="29" t="n">
        <v>46203</v>
      </c>
      <c r="I261" s="14" t="s">
        <v>254</v>
      </c>
      <c r="J261" s="14" t="s">
        <v>271</v>
      </c>
      <c r="K261" s="14" t="n">
        <v>30</v>
      </c>
      <c r="L261" s="16" t="n">
        <v>105.242881362188</v>
      </c>
      <c r="M261" s="30" t="n">
        <v>27.6901735836919</v>
      </c>
      <c r="N261" s="16" t="n">
        <v>9.50982420148486</v>
      </c>
      <c r="O261" s="16" t="n">
        <v>-9.2930702394357</v>
      </c>
      <c r="P261" s="16" t="n">
        <v>-0.896372980961149</v>
      </c>
      <c r="Q261" s="16" t="n">
        <v>4.0036709013758</v>
      </c>
      <c r="R261" s="16" t="n">
        <v>-3.68350084767656</v>
      </c>
      <c r="S261" s="16" t="n">
        <v>-0.625</v>
      </c>
      <c r="T261" s="16" t="n">
        <v>8.30862127422294</v>
      </c>
      <c r="U261" s="16" t="n">
        <v>25</v>
      </c>
      <c r="V261" s="16" t="n">
        <v>25</v>
      </c>
      <c r="W261" s="16" t="n">
        <v>623.09375</v>
      </c>
      <c r="X261" s="16" t="n">
        <v>0</v>
      </c>
      <c r="Y261" s="16" t="n">
        <v>0</v>
      </c>
      <c r="Z261" s="16" t="n">
        <v>0</v>
      </c>
      <c r="AA261" s="16" t="n">
        <v>0</v>
      </c>
      <c r="AB261" s="16" t="n">
        <v>0</v>
      </c>
      <c r="AC261" s="16" t="n">
        <v>623.09375</v>
      </c>
      <c r="AD261" s="16" t="n">
        <v>235.78791403904</v>
      </c>
      <c r="AE261" s="16" t="n">
        <v>0.146665661756307</v>
      </c>
      <c r="AF261" s="16" t="n">
        <v>0</v>
      </c>
      <c r="AG261" s="16" t="n">
        <v>235.934579700796</v>
      </c>
      <c r="AH261" s="16" t="n">
        <v>6.13437026931258</v>
      </c>
      <c r="AI261" s="16" t="n">
        <v>6.13437026931258</v>
      </c>
      <c r="AJ261" s="16" t="n">
        <v>0.695916666666667</v>
      </c>
      <c r="AK261" s="16" t="n">
        <v>1.20833333333333</v>
      </c>
      <c r="AL261" s="16" t="n">
        <v>0.416666666666667</v>
      </c>
      <c r="AM261" s="16" t="n">
        <v>0</v>
      </c>
      <c r="AN261" s="16" t="n">
        <v>921.647329700796</v>
      </c>
      <c r="AO261" s="16" t="n">
        <v>57.865420299204</v>
      </c>
      <c r="AP261" s="16" t="n">
        <v>235.934579700796</v>
      </c>
      <c r="AQ261" s="14" t="n">
        <v>57.865420299204</v>
      </c>
      <c r="AR261" s="14" t="s">
        <v>256</v>
      </c>
      <c r="AS261" s="29"/>
      <c r="AT261" s="14"/>
      <c r="AU261" s="17"/>
      <c r="AV261" s="17"/>
      <c r="AW261" s="16" t="n">
        <v>0</v>
      </c>
      <c r="AX261" s="14" t="s">
        <v>257</v>
      </c>
      <c r="AY261" s="14" t="s">
        <v>257</v>
      </c>
      <c r="AZ261" s="14" t="s">
        <v>258</v>
      </c>
      <c r="BA261" s="14" t="s">
        <v>259</v>
      </c>
      <c r="BB261" s="14" t="s">
        <v>553</v>
      </c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</row>
    <row r="262" customFormat="false" ht="15" hidden="false" customHeight="false" outlineLevel="0" collapsed="false">
      <c r="C262" s="14" t="s">
        <v>290</v>
      </c>
      <c r="D262" s="14" t="s">
        <v>291</v>
      </c>
      <c r="E262" s="14" t="s">
        <v>282</v>
      </c>
      <c r="F262" s="14" t="s">
        <v>253</v>
      </c>
      <c r="G262" s="29" t="n">
        <v>46204</v>
      </c>
      <c r="H262" s="29" t="n">
        <v>46234</v>
      </c>
      <c r="I262" s="14" t="s">
        <v>254</v>
      </c>
      <c r="J262" s="14" t="s">
        <v>271</v>
      </c>
      <c r="K262" s="14" t="n">
        <v>31</v>
      </c>
      <c r="L262" s="16" t="n">
        <v>273.631491541688</v>
      </c>
      <c r="M262" s="30" t="n">
        <v>27.6901735836919</v>
      </c>
      <c r="N262" s="16" t="n">
        <v>24.7255429238606</v>
      </c>
      <c r="O262" s="16" t="n">
        <v>-9.2930702394357</v>
      </c>
      <c r="P262" s="16" t="n">
        <v>-2.33056975049899</v>
      </c>
      <c r="Q262" s="16" t="n">
        <v>10.4095443435771</v>
      </c>
      <c r="R262" s="16" t="n">
        <v>-9.57710220395906</v>
      </c>
      <c r="S262" s="16" t="n">
        <v>-1.625</v>
      </c>
      <c r="T262" s="16" t="n">
        <v>21.6024153129796</v>
      </c>
      <c r="U262" s="16" t="n">
        <v>25</v>
      </c>
      <c r="V262" s="16" t="n">
        <v>25</v>
      </c>
      <c r="W262" s="16" t="n">
        <v>623.09375</v>
      </c>
      <c r="X262" s="16" t="n">
        <v>11.90625</v>
      </c>
      <c r="Y262" s="16" t="n">
        <v>11.90625</v>
      </c>
      <c r="Z262" s="16" t="n">
        <v>0</v>
      </c>
      <c r="AA262" s="16" t="n">
        <v>0</v>
      </c>
      <c r="AB262" s="16" t="n">
        <v>0</v>
      </c>
      <c r="AC262" s="16" t="n">
        <v>611.1875</v>
      </c>
      <c r="AD262" s="16" t="n">
        <v>235.934579700796</v>
      </c>
      <c r="AE262" s="16" t="n">
        <v>0</v>
      </c>
      <c r="AF262" s="16" t="n">
        <v>1.28746722361838</v>
      </c>
      <c r="AG262" s="16" t="n">
        <v>234.647112477178</v>
      </c>
      <c r="AH262" s="16" t="n">
        <v>6.08778142269459</v>
      </c>
      <c r="AI262" s="16" t="n">
        <v>6.08778142269459</v>
      </c>
      <c r="AJ262" s="16" t="n">
        <v>0.695916666666667</v>
      </c>
      <c r="AK262" s="16" t="n">
        <v>1.20833333333333</v>
      </c>
      <c r="AL262" s="16" t="n">
        <v>0.416666666666667</v>
      </c>
      <c r="AM262" s="16" t="n">
        <v>0</v>
      </c>
      <c r="AN262" s="16" t="n">
        <v>908.453612477178</v>
      </c>
      <c r="AO262" s="16" t="n">
        <v>59.1528875228223</v>
      </c>
      <c r="AP262" s="16" t="n">
        <v>234.647112477178</v>
      </c>
      <c r="AQ262" s="14" t="n">
        <v>59.1528875228223</v>
      </c>
      <c r="AR262" s="14" t="s">
        <v>256</v>
      </c>
      <c r="AS262" s="29"/>
      <c r="AT262" s="14"/>
      <c r="AU262" s="17"/>
      <c r="AV262" s="17"/>
      <c r="AW262" s="16" t="n">
        <v>0</v>
      </c>
      <c r="AX262" s="14" t="s">
        <v>257</v>
      </c>
      <c r="AY262" s="14" t="s">
        <v>257</v>
      </c>
      <c r="AZ262" s="14" t="s">
        <v>258</v>
      </c>
      <c r="BA262" s="14" t="s">
        <v>259</v>
      </c>
      <c r="BB262" s="14" t="s">
        <v>554</v>
      </c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</row>
    <row r="263" customFormat="false" ht="15" hidden="false" customHeight="false" outlineLevel="0" collapsed="false">
      <c r="C263" s="14" t="s">
        <v>290</v>
      </c>
      <c r="D263" s="14" t="s">
        <v>291</v>
      </c>
      <c r="E263" s="14" t="s">
        <v>287</v>
      </c>
      <c r="F263" s="14" t="s">
        <v>253</v>
      </c>
      <c r="G263" s="29" t="n">
        <v>46235</v>
      </c>
      <c r="H263" s="29" t="n">
        <v>46265</v>
      </c>
      <c r="I263" s="14" t="s">
        <v>254</v>
      </c>
      <c r="J263" s="14" t="s">
        <v>288</v>
      </c>
      <c r="K263" s="14" t="n">
        <v>31</v>
      </c>
      <c r="L263" s="16" t="n">
        <v>41.63586907725</v>
      </c>
      <c r="M263" s="30" t="n">
        <v>27.9159174302794</v>
      </c>
      <c r="N263" s="16" t="n">
        <v>3.85623817944505</v>
      </c>
      <c r="O263" s="16" t="n">
        <v>-9.1912405572414</v>
      </c>
      <c r="P263" s="16" t="n">
        <v>-0.378117959337123</v>
      </c>
      <c r="Q263" s="16" t="n">
        <v>1.58095034901936</v>
      </c>
      <c r="R263" s="16" t="n">
        <v>-1.45725541770375</v>
      </c>
      <c r="S263" s="16" t="n">
        <v>-0.25</v>
      </c>
      <c r="T263" s="16" t="n">
        <v>3.35181515142353</v>
      </c>
      <c r="U263" s="16" t="n">
        <v>25</v>
      </c>
      <c r="V263" s="16" t="n">
        <v>25</v>
      </c>
      <c r="W263" s="16" t="n">
        <v>611.1875</v>
      </c>
      <c r="X263" s="16" t="n">
        <v>0</v>
      </c>
      <c r="Y263" s="16" t="n">
        <v>0</v>
      </c>
      <c r="Z263" s="16" t="n">
        <v>0</v>
      </c>
      <c r="AA263" s="16" t="n">
        <v>0</v>
      </c>
      <c r="AB263" s="16" t="n">
        <v>0</v>
      </c>
      <c r="AC263" s="16" t="n">
        <v>611.1875</v>
      </c>
      <c r="AD263" s="16" t="n">
        <v>234.647112477178</v>
      </c>
      <c r="AE263" s="16" t="n">
        <v>5.02772353547266</v>
      </c>
      <c r="AF263" s="16" t="n">
        <v>0</v>
      </c>
      <c r="AG263" s="16" t="n">
        <v>239.67483601265</v>
      </c>
      <c r="AH263" s="16" t="n">
        <v>6.05862202022952</v>
      </c>
      <c r="AI263" s="16" t="n">
        <v>6.05862202022952</v>
      </c>
      <c r="AJ263" s="16" t="n">
        <v>0.695916666666667</v>
      </c>
      <c r="AK263" s="16" t="n">
        <v>1.20833333333333</v>
      </c>
      <c r="AL263" s="16" t="n">
        <v>0.416666666666667</v>
      </c>
      <c r="AM263" s="16" t="n">
        <v>0</v>
      </c>
      <c r="AN263" s="16" t="n">
        <v>913.48133601265</v>
      </c>
      <c r="AO263" s="16" t="n">
        <v>54.1251639873497</v>
      </c>
      <c r="AP263" s="16" t="n">
        <v>239.67483601265</v>
      </c>
      <c r="AQ263" s="14" t="n">
        <v>54.1251639873497</v>
      </c>
      <c r="AR263" s="14" t="s">
        <v>256</v>
      </c>
      <c r="AS263" s="29"/>
      <c r="AT263" s="14"/>
      <c r="AU263" s="17"/>
      <c r="AV263" s="17"/>
      <c r="AW263" s="16" t="n">
        <v>0</v>
      </c>
      <c r="AX263" s="14" t="s">
        <v>257</v>
      </c>
      <c r="AY263" s="14" t="s">
        <v>257</v>
      </c>
      <c r="AZ263" s="14" t="s">
        <v>258</v>
      </c>
      <c r="BA263" s="14" t="s">
        <v>259</v>
      </c>
      <c r="BB263" s="14" t="s">
        <v>555</v>
      </c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</row>
    <row r="264" customFormat="false" ht="15" hidden="false" customHeight="false" outlineLevel="0" collapsed="false">
      <c r="C264" s="14" t="s">
        <v>290</v>
      </c>
      <c r="D264" s="14" t="s">
        <v>291</v>
      </c>
      <c r="E264" s="14" t="s">
        <v>293</v>
      </c>
      <c r="F264" s="14" t="s">
        <v>253</v>
      </c>
      <c r="G264" s="29" t="n">
        <v>46266</v>
      </c>
      <c r="H264" s="29" t="n">
        <v>46295</v>
      </c>
      <c r="I264" s="14" t="s">
        <v>254</v>
      </c>
      <c r="J264" s="14" t="s">
        <v>288</v>
      </c>
      <c r="K264" s="14" t="n">
        <v>30</v>
      </c>
      <c r="L264" s="16" t="n">
        <v>104.089672693125</v>
      </c>
      <c r="M264" s="30" t="n">
        <v>27.9159174302794</v>
      </c>
      <c r="N264" s="16" t="n">
        <v>9.64059544861262</v>
      </c>
      <c r="O264" s="16" t="n">
        <v>-9.1912405572414</v>
      </c>
      <c r="P264" s="16" t="n">
        <v>-0.945294898342807</v>
      </c>
      <c r="Q264" s="16" t="n">
        <v>3.95237587254839</v>
      </c>
      <c r="R264" s="16" t="n">
        <v>-3.64313854425938</v>
      </c>
      <c r="S264" s="16" t="n">
        <v>-0.625</v>
      </c>
      <c r="T264" s="16" t="n">
        <v>8.37953787855883</v>
      </c>
      <c r="U264" s="16" t="n">
        <v>25</v>
      </c>
      <c r="V264" s="16" t="n">
        <v>25</v>
      </c>
      <c r="W264" s="16" t="n">
        <v>611.1875</v>
      </c>
      <c r="X264" s="16" t="n">
        <v>0</v>
      </c>
      <c r="Y264" s="16" t="n">
        <v>0</v>
      </c>
      <c r="Z264" s="16" t="n">
        <v>0</v>
      </c>
      <c r="AA264" s="16" t="n">
        <v>0</v>
      </c>
      <c r="AB264" s="16" t="n">
        <v>0</v>
      </c>
      <c r="AC264" s="16" t="n">
        <v>611.1875</v>
      </c>
      <c r="AD264" s="16" t="n">
        <v>239.67483601265</v>
      </c>
      <c r="AE264" s="16" t="n">
        <v>0.0180183115159697</v>
      </c>
      <c r="AF264" s="16" t="n">
        <v>0</v>
      </c>
      <c r="AG264" s="16" t="n">
        <v>239.692854324166</v>
      </c>
      <c r="AH264" s="16" t="n">
        <v>6.07663952340813</v>
      </c>
      <c r="AI264" s="16" t="n">
        <v>6.07663952340813</v>
      </c>
      <c r="AJ264" s="16" t="n">
        <v>0.695916666666667</v>
      </c>
      <c r="AK264" s="16" t="n">
        <v>1.20833333333333</v>
      </c>
      <c r="AL264" s="16" t="n">
        <v>0.416666666666667</v>
      </c>
      <c r="AM264" s="16" t="n">
        <v>0</v>
      </c>
      <c r="AN264" s="16" t="n">
        <v>913.499354324166</v>
      </c>
      <c r="AO264" s="16" t="n">
        <v>54.1071456758337</v>
      </c>
      <c r="AP264" s="16" t="n">
        <v>239.692854324166</v>
      </c>
      <c r="AQ264" s="14" t="n">
        <v>54.1071456758337</v>
      </c>
      <c r="AR264" s="14" t="s">
        <v>256</v>
      </c>
      <c r="AS264" s="29"/>
      <c r="AT264" s="14"/>
      <c r="AU264" s="17"/>
      <c r="AV264" s="17"/>
      <c r="AW264" s="16" t="n">
        <v>0</v>
      </c>
      <c r="AX264" s="14" t="s">
        <v>257</v>
      </c>
      <c r="AY264" s="14" t="s">
        <v>257</v>
      </c>
      <c r="AZ264" s="14" t="s">
        <v>258</v>
      </c>
      <c r="BA264" s="14" t="s">
        <v>259</v>
      </c>
      <c r="BB264" s="14" t="s">
        <v>556</v>
      </c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</row>
    <row r="265" customFormat="false" ht="15" hidden="false" customHeight="false" outlineLevel="0" collapsed="false">
      <c r="C265" s="14" t="s">
        <v>290</v>
      </c>
      <c r="D265" s="14" t="s">
        <v>291</v>
      </c>
      <c r="E265" s="14" t="s">
        <v>297</v>
      </c>
      <c r="F265" s="14" t="s">
        <v>253</v>
      </c>
      <c r="G265" s="29" t="n">
        <v>46296</v>
      </c>
      <c r="H265" s="29" t="n">
        <v>46326</v>
      </c>
      <c r="I265" s="14" t="s">
        <v>254</v>
      </c>
      <c r="J265" s="14" t="s">
        <v>288</v>
      </c>
      <c r="K265" s="14" t="n">
        <v>31</v>
      </c>
      <c r="L265" s="16" t="n">
        <v>270.633149002125</v>
      </c>
      <c r="M265" s="30" t="n">
        <v>27.9159174302794</v>
      </c>
      <c r="N265" s="16" t="n">
        <v>25.0655481663928</v>
      </c>
      <c r="O265" s="16" t="n">
        <v>-9.1912405572414</v>
      </c>
      <c r="P265" s="16" t="n">
        <v>-2.4577667356913</v>
      </c>
      <c r="Q265" s="16" t="n">
        <v>10.2761772686258</v>
      </c>
      <c r="R265" s="16" t="n">
        <v>-9.47216021507438</v>
      </c>
      <c r="S265" s="16" t="n">
        <v>-1.625</v>
      </c>
      <c r="T265" s="16" t="n">
        <v>21.786798484253</v>
      </c>
      <c r="U265" s="16" t="n">
        <v>25</v>
      </c>
      <c r="V265" s="16" t="n">
        <v>25</v>
      </c>
      <c r="W265" s="16" t="n">
        <v>611.1875</v>
      </c>
      <c r="X265" s="16" t="n">
        <v>11.90625</v>
      </c>
      <c r="Y265" s="16" t="n">
        <v>11.90625</v>
      </c>
      <c r="Z265" s="16" t="n">
        <v>0</v>
      </c>
      <c r="AA265" s="16" t="n">
        <v>0</v>
      </c>
      <c r="AB265" s="16" t="n">
        <v>0</v>
      </c>
      <c r="AC265" s="16" t="n">
        <v>599.28125</v>
      </c>
      <c r="AD265" s="16" t="n">
        <v>239.692854324166</v>
      </c>
      <c r="AE265" s="16" t="n">
        <v>0</v>
      </c>
      <c r="AF265" s="16" t="n">
        <v>1.53090981194881</v>
      </c>
      <c r="AG265" s="16" t="n">
        <v>238.161944512217</v>
      </c>
      <c r="AH265" s="16" t="n">
        <v>6.02872200563747</v>
      </c>
      <c r="AI265" s="16" t="n">
        <v>6.02872200563747</v>
      </c>
      <c r="AJ265" s="16" t="n">
        <v>0.695916666666667</v>
      </c>
      <c r="AK265" s="16" t="n">
        <v>1.20833333333333</v>
      </c>
      <c r="AL265" s="16" t="n">
        <v>0.416666666666667</v>
      </c>
      <c r="AM265" s="16" t="n">
        <v>0</v>
      </c>
      <c r="AN265" s="16" t="n">
        <v>900.062194512218</v>
      </c>
      <c r="AO265" s="16" t="n">
        <v>55.6380554877825</v>
      </c>
      <c r="AP265" s="16" t="n">
        <v>238.161944512217</v>
      </c>
      <c r="AQ265" s="14" t="n">
        <v>55.6380554877825</v>
      </c>
      <c r="AR265" s="14" t="s">
        <v>372</v>
      </c>
      <c r="AS265" s="29" t="n">
        <v>46327</v>
      </c>
      <c r="AT265" s="14" t="n">
        <v>147.914106394588</v>
      </c>
      <c r="AU265" s="17" t="n">
        <v>6.08503283730854</v>
      </c>
      <c r="AV265" s="17"/>
      <c r="AW265" s="16" t="n">
        <v>0</v>
      </c>
      <c r="AX265" s="14" t="s">
        <v>257</v>
      </c>
      <c r="AY265" s="14" t="s">
        <v>257</v>
      </c>
      <c r="AZ265" s="14" t="s">
        <v>373</v>
      </c>
      <c r="BA265" s="14" t="s">
        <v>259</v>
      </c>
      <c r="BB265" s="14" t="s">
        <v>557</v>
      </c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</row>
    <row r="266" customFormat="false" ht="15" hidden="false" customHeight="false" outlineLevel="0" collapsed="false">
      <c r="C266" s="14" t="s">
        <v>290</v>
      </c>
      <c r="D266" s="14" t="s">
        <v>291</v>
      </c>
      <c r="E266" s="14" t="s">
        <v>301</v>
      </c>
      <c r="F266" s="14" t="s">
        <v>253</v>
      </c>
      <c r="G266" s="29" t="n">
        <v>46327</v>
      </c>
      <c r="H266" s="29" t="n">
        <v>46356</v>
      </c>
      <c r="I266" s="14" t="s">
        <v>302</v>
      </c>
      <c r="J266" s="14" t="s">
        <v>303</v>
      </c>
      <c r="K266" s="14" t="n">
        <v>30</v>
      </c>
      <c r="L266" s="16" t="n">
        <v>34.0020398342523</v>
      </c>
      <c r="M266" s="30" t="n">
        <v>22.9096754759419</v>
      </c>
      <c r="N266" s="16" t="n">
        <v>1.44698246850644</v>
      </c>
      <c r="O266" s="16" t="n">
        <v>-7.50605029941072</v>
      </c>
      <c r="P266" s="16" t="n">
        <v>0</v>
      </c>
      <c r="Q266" s="16" t="n">
        <v>1.35681565319945</v>
      </c>
      <c r="R266" s="16" t="n">
        <v>-1.19007139419883</v>
      </c>
      <c r="S266" s="16" t="n">
        <v>-0.25</v>
      </c>
      <c r="T266" s="16" t="n">
        <v>1.36372672750706</v>
      </c>
      <c r="U266" s="16" t="n">
        <v>25</v>
      </c>
      <c r="V266" s="16" t="n">
        <v>18.0887365800323</v>
      </c>
      <c r="W266" s="16" t="n">
        <v>599.28125</v>
      </c>
      <c r="X266" s="16" t="n">
        <v>0</v>
      </c>
      <c r="Y266" s="16" t="n">
        <v>0</v>
      </c>
      <c r="Z266" s="16" t="n">
        <v>0</v>
      </c>
      <c r="AA266" s="16" t="n">
        <v>0</v>
      </c>
      <c r="AB266" s="16" t="n">
        <v>0</v>
      </c>
      <c r="AC266" s="16" t="n">
        <v>599.28125</v>
      </c>
      <c r="AD266" s="16" t="n">
        <v>238.161944512217</v>
      </c>
      <c r="AE266" s="16" t="n">
        <v>0</v>
      </c>
      <c r="AF266" s="16" t="n">
        <v>0</v>
      </c>
      <c r="AG266" s="16" t="n">
        <v>238.161944512217</v>
      </c>
      <c r="AH266" s="16" t="n">
        <v>5.98074014747475</v>
      </c>
      <c r="AI266" s="16" t="n">
        <v>5.98074014747475</v>
      </c>
      <c r="AJ266" s="16" t="n">
        <v>0.66925</v>
      </c>
      <c r="AK266" s="16" t="n">
        <v>1.20833333333333</v>
      </c>
      <c r="AL266" s="16" t="n">
        <v>0.416666666666667</v>
      </c>
      <c r="AM266" s="16" t="n">
        <v>0</v>
      </c>
      <c r="AN266" s="16" t="n">
        <v>900.062194512218</v>
      </c>
      <c r="AO266" s="16" t="n">
        <v>0</v>
      </c>
      <c r="AP266" s="16" t="n">
        <v>238.161944512217</v>
      </c>
      <c r="AQ266" s="14" t="n">
        <v>55.6380554877825</v>
      </c>
      <c r="AR266" s="14" t="s">
        <v>521</v>
      </c>
      <c r="AS266" s="29" t="n">
        <v>46327</v>
      </c>
      <c r="AT266" s="14" t="n">
        <v>138.686080959305</v>
      </c>
      <c r="AU266" s="17" t="n">
        <v>6.48992449917396</v>
      </c>
      <c r="AV266" s="17"/>
      <c r="AW266" s="16" t="n">
        <v>0</v>
      </c>
      <c r="AX266" s="14" t="s">
        <v>257</v>
      </c>
      <c r="AY266" s="14" t="s">
        <v>257</v>
      </c>
      <c r="AZ266" s="14" t="s">
        <v>455</v>
      </c>
      <c r="BA266" s="14" t="s">
        <v>259</v>
      </c>
      <c r="BB266" s="14" t="s">
        <v>558</v>
      </c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</row>
    <row r="267" customFormat="false" ht="15" hidden="false" customHeight="false" outlineLevel="0" collapsed="false">
      <c r="C267" s="14" t="s">
        <v>290</v>
      </c>
      <c r="D267" s="14" t="s">
        <v>291</v>
      </c>
      <c r="E267" s="14" t="s">
        <v>305</v>
      </c>
      <c r="F267" s="14" t="s">
        <v>253</v>
      </c>
      <c r="G267" s="29" t="n">
        <v>46357</v>
      </c>
      <c r="H267" s="29" t="n">
        <v>46387</v>
      </c>
      <c r="I267" s="14" t="s">
        <v>302</v>
      </c>
      <c r="J267" s="14" t="s">
        <v>303</v>
      </c>
      <c r="K267" s="14" t="n">
        <v>31</v>
      </c>
      <c r="L267" s="16" t="n">
        <v>85.0050995856308</v>
      </c>
      <c r="M267" s="30" t="n">
        <v>22.9096754759419</v>
      </c>
      <c r="N267" s="16" t="n">
        <v>3.6174561712661</v>
      </c>
      <c r="O267" s="16" t="n">
        <v>-7.50605029941072</v>
      </c>
      <c r="P267" s="16" t="n">
        <v>0</v>
      </c>
      <c r="Q267" s="16" t="n">
        <v>3.39203913299863</v>
      </c>
      <c r="R267" s="16" t="n">
        <v>-2.97517848549708</v>
      </c>
      <c r="S267" s="16" t="n">
        <v>-0.625</v>
      </c>
      <c r="T267" s="16" t="n">
        <v>3.40931681876765</v>
      </c>
      <c r="U267" s="16" t="n">
        <v>18.0887365800323</v>
      </c>
      <c r="V267" s="16" t="n">
        <v>13.2230632513252</v>
      </c>
      <c r="W267" s="16" t="n">
        <v>599.28125</v>
      </c>
      <c r="X267" s="16" t="n">
        <v>0</v>
      </c>
      <c r="Y267" s="16" t="n">
        <v>0</v>
      </c>
      <c r="Z267" s="16" t="n">
        <v>0</v>
      </c>
      <c r="AA267" s="16" t="n">
        <v>0</v>
      </c>
      <c r="AB267" s="16" t="n">
        <v>0</v>
      </c>
      <c r="AC267" s="16" t="n">
        <v>599.28125</v>
      </c>
      <c r="AD267" s="16" t="n">
        <v>238.161944512217</v>
      </c>
      <c r="AE267" s="16" t="n">
        <v>0</v>
      </c>
      <c r="AF267" s="16" t="n">
        <v>0</v>
      </c>
      <c r="AG267" s="16" t="n">
        <v>238.161944512217</v>
      </c>
      <c r="AH267" s="16" t="n">
        <v>5.98074014747475</v>
      </c>
      <c r="AI267" s="16" t="n">
        <v>5.98074014747475</v>
      </c>
      <c r="AJ267" s="16" t="n">
        <v>0.66925</v>
      </c>
      <c r="AK267" s="16" t="n">
        <v>1.20833333333333</v>
      </c>
      <c r="AL267" s="16" t="n">
        <v>0.416666666666667</v>
      </c>
      <c r="AM267" s="16" t="n">
        <v>0</v>
      </c>
      <c r="AN267" s="16" t="n">
        <v>900.062194512218</v>
      </c>
      <c r="AO267" s="16" t="n">
        <v>0</v>
      </c>
      <c r="AP267" s="16" t="n">
        <v>238.161944512217</v>
      </c>
      <c r="AQ267" s="14" t="n">
        <v>55.6380554877825</v>
      </c>
      <c r="AR267" s="14" t="s">
        <v>521</v>
      </c>
      <c r="AS267" s="29" t="n">
        <v>46327</v>
      </c>
      <c r="AT267" s="14" t="n">
        <v>131.628529226782</v>
      </c>
      <c r="AU267" s="17" t="n">
        <v>6.83789600779863</v>
      </c>
      <c r="AV267" s="17"/>
      <c r="AW267" s="16" t="n">
        <v>0</v>
      </c>
      <c r="AX267" s="14" t="s">
        <v>257</v>
      </c>
      <c r="AY267" s="14" t="s">
        <v>257</v>
      </c>
      <c r="AZ267" s="14" t="s">
        <v>455</v>
      </c>
      <c r="BA267" s="14" t="s">
        <v>259</v>
      </c>
      <c r="BB267" s="14" t="s">
        <v>559</v>
      </c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</row>
    <row r="268" customFormat="false" ht="15" hidden="false" customHeight="false" outlineLevel="0" collapsed="false">
      <c r="C268" s="14" t="s">
        <v>290</v>
      </c>
      <c r="D268" s="14" t="s">
        <v>291</v>
      </c>
      <c r="E268" s="14" t="s">
        <v>307</v>
      </c>
      <c r="F268" s="14" t="s">
        <v>253</v>
      </c>
      <c r="G268" s="29" t="n">
        <v>46388</v>
      </c>
      <c r="H268" s="29" t="n">
        <v>46418</v>
      </c>
      <c r="I268" s="14" t="s">
        <v>302</v>
      </c>
      <c r="J268" s="14" t="s">
        <v>303</v>
      </c>
      <c r="K268" s="14" t="n">
        <v>31</v>
      </c>
      <c r="L268" s="16" t="n">
        <v>221.01325892264</v>
      </c>
      <c r="M268" s="30" t="n">
        <v>22.9096754759419</v>
      </c>
      <c r="N268" s="16" t="n">
        <v>9.40538604529186</v>
      </c>
      <c r="O268" s="16" t="n">
        <v>-7.50605029941072</v>
      </c>
      <c r="P268" s="16" t="n">
        <v>0</v>
      </c>
      <c r="Q268" s="16" t="n">
        <v>8.81930174579643</v>
      </c>
      <c r="R268" s="16" t="n">
        <v>-7.73546406229241</v>
      </c>
      <c r="S268" s="16" t="n">
        <v>-1.625</v>
      </c>
      <c r="T268" s="16" t="n">
        <v>8.86422372879588</v>
      </c>
      <c r="U268" s="16" t="n">
        <v>13.2230632513252</v>
      </c>
      <c r="V268" s="16" t="n">
        <v>1.94856206702132</v>
      </c>
      <c r="W268" s="16" t="n">
        <v>599.28125</v>
      </c>
      <c r="X268" s="16" t="n">
        <v>11.90625</v>
      </c>
      <c r="Y268" s="16" t="n">
        <v>11.90625</v>
      </c>
      <c r="Z268" s="16" t="n">
        <v>0</v>
      </c>
      <c r="AA268" s="16" t="n">
        <v>0</v>
      </c>
      <c r="AB268" s="16" t="n">
        <v>0</v>
      </c>
      <c r="AC268" s="16" t="n">
        <v>587.375</v>
      </c>
      <c r="AD268" s="16" t="n">
        <v>238.161944512217</v>
      </c>
      <c r="AE268" s="16" t="n">
        <v>0</v>
      </c>
      <c r="AF268" s="16" t="n">
        <v>0</v>
      </c>
      <c r="AG268" s="16" t="n">
        <v>238.161944512217</v>
      </c>
      <c r="AH268" s="16" t="n">
        <v>5.93822491309975</v>
      </c>
      <c r="AI268" s="16" t="n">
        <v>5.93822491309975</v>
      </c>
      <c r="AJ268" s="16" t="n">
        <v>0.66925</v>
      </c>
      <c r="AK268" s="16" t="n">
        <v>1.20833333333333</v>
      </c>
      <c r="AL268" s="16" t="n">
        <v>0.416666666666667</v>
      </c>
      <c r="AM268" s="16" t="n">
        <v>0</v>
      </c>
      <c r="AN268" s="16" t="n">
        <v>888.155944512218</v>
      </c>
      <c r="AO268" s="16" t="n">
        <v>0</v>
      </c>
      <c r="AP268" s="16" t="n">
        <v>238.161944512217</v>
      </c>
      <c r="AQ268" s="14" t="n">
        <v>55.6380554877825</v>
      </c>
      <c r="AR268" s="14" t="s">
        <v>521</v>
      </c>
      <c r="AS268" s="29" t="n">
        <v>46327</v>
      </c>
      <c r="AT268" s="14" t="n">
        <v>130.358907368284</v>
      </c>
      <c r="AU268" s="17" t="n">
        <v>6.81315885843564</v>
      </c>
      <c r="AV268" s="17" t="n">
        <v>1.86198099588389</v>
      </c>
      <c r="AW268" s="16" t="n">
        <v>0</v>
      </c>
      <c r="AX268" s="14" t="s">
        <v>257</v>
      </c>
      <c r="AY268" s="14" t="s">
        <v>257</v>
      </c>
      <c r="AZ268" s="14" t="s">
        <v>455</v>
      </c>
      <c r="BA268" s="14" t="s">
        <v>259</v>
      </c>
      <c r="BB268" s="14" t="s">
        <v>560</v>
      </c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</row>
    <row r="269" customFormat="false" ht="15" hidden="false" customHeight="false" outlineLevel="0" collapsed="false">
      <c r="C269" s="14" t="s">
        <v>290</v>
      </c>
      <c r="D269" s="14" t="s">
        <v>291</v>
      </c>
      <c r="E269" s="14" t="s">
        <v>309</v>
      </c>
      <c r="F269" s="14" t="s">
        <v>253</v>
      </c>
      <c r="G269" s="29" t="n">
        <v>46419</v>
      </c>
      <c r="H269" s="29" t="n">
        <v>46446</v>
      </c>
      <c r="I269" s="14" t="s">
        <v>302</v>
      </c>
      <c r="J269" s="14" t="s">
        <v>255</v>
      </c>
      <c r="K269" s="14" t="n">
        <v>28</v>
      </c>
      <c r="L269" s="16" t="n">
        <v>38.4587069925379</v>
      </c>
      <c r="M269" s="30" t="n">
        <v>28.8693217195837</v>
      </c>
      <c r="N269" s="16" t="n">
        <v>3.9286421897728</v>
      </c>
      <c r="O269" s="16" t="n">
        <v>-8.48987268244684</v>
      </c>
      <c r="P269" s="16" t="n">
        <v>-0.440931163937214</v>
      </c>
      <c r="Q269" s="16" t="n">
        <v>0.000250145414212653</v>
      </c>
      <c r="R269" s="16" t="n">
        <v>-1.34605474473883</v>
      </c>
      <c r="S269" s="16" t="n">
        <v>0</v>
      </c>
      <c r="T269" s="16" t="n">
        <v>2.14190642651097</v>
      </c>
      <c r="U269" s="16" t="n">
        <v>1.94856206702132</v>
      </c>
      <c r="V269" s="16" t="n">
        <v>0</v>
      </c>
      <c r="W269" s="16" t="n">
        <v>587.375</v>
      </c>
      <c r="X269" s="16" t="n">
        <v>0</v>
      </c>
      <c r="Y269" s="16" t="n">
        <v>0</v>
      </c>
      <c r="Z269" s="16" t="n">
        <v>0</v>
      </c>
      <c r="AA269" s="16" t="n">
        <v>0</v>
      </c>
      <c r="AB269" s="16" t="n">
        <v>0</v>
      </c>
      <c r="AC269" s="16" t="n">
        <v>587.375</v>
      </c>
      <c r="AD269" s="16" t="n">
        <v>238.161944512217</v>
      </c>
      <c r="AE269" s="16" t="n">
        <v>0</v>
      </c>
      <c r="AF269" s="16" t="n">
        <v>0</v>
      </c>
      <c r="AG269" s="16" t="n">
        <v>238.161944512217</v>
      </c>
      <c r="AH269" s="16" t="n">
        <v>5.89570967872475</v>
      </c>
      <c r="AI269" s="16" t="n">
        <v>4.0904684935323</v>
      </c>
      <c r="AJ269" s="16" t="n">
        <v>0</v>
      </c>
      <c r="AK269" s="16" t="n">
        <v>0</v>
      </c>
      <c r="AL269" s="16" t="n">
        <v>0</v>
      </c>
      <c r="AM269" s="16" t="n">
        <v>1.80524118519246</v>
      </c>
      <c r="AN269" s="16" t="n">
        <v>888.155944512218</v>
      </c>
      <c r="AO269" s="16" t="n">
        <v>0</v>
      </c>
      <c r="AP269" s="16" t="n">
        <v>238.161944512217</v>
      </c>
      <c r="AQ269" s="14" t="n">
        <v>55.6380554877825</v>
      </c>
      <c r="AR269" s="14" t="s">
        <v>521</v>
      </c>
      <c r="AS269" s="29" t="n">
        <v>46327</v>
      </c>
      <c r="AT269" s="14" t="n">
        <v>130.358809149774</v>
      </c>
      <c r="AU269" s="17" t="n">
        <v>6.8131639917927</v>
      </c>
      <c r="AV269" s="17" t="n">
        <v>1.88195040533726</v>
      </c>
      <c r="AW269" s="16" t="n">
        <v>0</v>
      </c>
      <c r="AX269" s="14" t="s">
        <v>257</v>
      </c>
      <c r="AY269" s="14" t="s">
        <v>361</v>
      </c>
      <c r="AZ269" s="14" t="s">
        <v>461</v>
      </c>
      <c r="BA269" s="14" t="s">
        <v>259</v>
      </c>
      <c r="BB269" s="14" t="s">
        <v>561</v>
      </c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</row>
    <row r="270" customFormat="false" ht="15" hidden="false" customHeight="false" outlineLevel="0" collapsed="false">
      <c r="C270" s="14" t="s">
        <v>290</v>
      </c>
      <c r="D270" s="14" t="s">
        <v>291</v>
      </c>
      <c r="E270" s="14" t="s">
        <v>311</v>
      </c>
      <c r="F270" s="14" t="s">
        <v>253</v>
      </c>
      <c r="G270" s="29" t="n">
        <v>46447</v>
      </c>
      <c r="H270" s="29" t="n">
        <v>46477</v>
      </c>
      <c r="I270" s="14" t="s">
        <v>302</v>
      </c>
      <c r="J270" s="14" t="s">
        <v>255</v>
      </c>
      <c r="K270" s="14" t="n">
        <v>31</v>
      </c>
      <c r="L270" s="16" t="n">
        <v>96.1467674813447</v>
      </c>
      <c r="M270" s="30" t="n">
        <v>28.8693217195837</v>
      </c>
      <c r="N270" s="16" t="n">
        <v>9.821605474432</v>
      </c>
      <c r="O270" s="16" t="n">
        <v>-8.48987268244684</v>
      </c>
      <c r="P270" s="16" t="n">
        <v>-1.10232790984303</v>
      </c>
      <c r="Q270" s="16" t="n">
        <v>0.000625363535531634</v>
      </c>
      <c r="R270" s="16" t="n">
        <v>-3.36513686184707</v>
      </c>
      <c r="S270" s="16" t="n">
        <v>0</v>
      </c>
      <c r="T270" s="16" t="n">
        <v>5.35476606627743</v>
      </c>
      <c r="U270" s="16" t="n">
        <v>0</v>
      </c>
      <c r="V270" s="16" t="n">
        <v>0</v>
      </c>
      <c r="W270" s="16" t="n">
        <v>587.375</v>
      </c>
      <c r="X270" s="16" t="n">
        <v>0</v>
      </c>
      <c r="Y270" s="16" t="n">
        <v>0</v>
      </c>
      <c r="Z270" s="16" t="n">
        <v>0</v>
      </c>
      <c r="AA270" s="16" t="n">
        <v>0</v>
      </c>
      <c r="AB270" s="16" t="n">
        <v>0</v>
      </c>
      <c r="AC270" s="16" t="n">
        <v>587.375</v>
      </c>
      <c r="AD270" s="16" t="n">
        <v>238.161944512217</v>
      </c>
      <c r="AE270" s="16" t="n">
        <v>0</v>
      </c>
      <c r="AF270" s="16" t="n">
        <v>0</v>
      </c>
      <c r="AG270" s="16" t="n">
        <v>238.161944512217</v>
      </c>
      <c r="AH270" s="16" t="n">
        <v>5.89570967872475</v>
      </c>
      <c r="AI270" s="16" t="n">
        <v>5.35476606627743</v>
      </c>
      <c r="AJ270" s="16" t="n">
        <v>0</v>
      </c>
      <c r="AK270" s="16" t="n">
        <v>0</v>
      </c>
      <c r="AL270" s="16" t="n">
        <v>0</v>
      </c>
      <c r="AM270" s="16" t="n">
        <v>0.540943612447326</v>
      </c>
      <c r="AN270" s="16" t="n">
        <v>888.155944512218</v>
      </c>
      <c r="AO270" s="16" t="n">
        <v>0</v>
      </c>
      <c r="AP270" s="16" t="n">
        <v>238.161944512217</v>
      </c>
      <c r="AQ270" s="14" t="n">
        <v>55.6380554877825</v>
      </c>
      <c r="AR270" s="14" t="s">
        <v>521</v>
      </c>
      <c r="AS270" s="29" t="n">
        <v>46327</v>
      </c>
      <c r="AT270" s="14" t="n">
        <v>130.358563603499</v>
      </c>
      <c r="AU270" s="17" t="n">
        <v>6.81317682521918</v>
      </c>
      <c r="AV270" s="17" t="n">
        <v>1.87486890768475</v>
      </c>
      <c r="AW270" s="16" t="n">
        <v>0</v>
      </c>
      <c r="AX270" s="14" t="s">
        <v>257</v>
      </c>
      <c r="AY270" s="14" t="s">
        <v>361</v>
      </c>
      <c r="AZ270" s="14" t="s">
        <v>461</v>
      </c>
      <c r="BA270" s="14" t="s">
        <v>259</v>
      </c>
      <c r="BB270" s="14" t="s">
        <v>562</v>
      </c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</row>
    <row r="271" customFormat="false" ht="15" hidden="false" customHeight="false" outlineLevel="0" collapsed="false">
      <c r="C271" s="14" t="s">
        <v>290</v>
      </c>
      <c r="D271" s="14" t="s">
        <v>291</v>
      </c>
      <c r="E271" s="14" t="s">
        <v>313</v>
      </c>
      <c r="F271" s="14" t="s">
        <v>253</v>
      </c>
      <c r="G271" s="29" t="n">
        <v>46478</v>
      </c>
      <c r="H271" s="29" t="n">
        <v>46507</v>
      </c>
      <c r="I271" s="14" t="s">
        <v>302</v>
      </c>
      <c r="J271" s="14" t="s">
        <v>255</v>
      </c>
      <c r="K271" s="14" t="n">
        <v>30</v>
      </c>
      <c r="L271" s="16" t="n">
        <v>249.981595451496</v>
      </c>
      <c r="M271" s="30" t="n">
        <v>28.8693217195837</v>
      </c>
      <c r="N271" s="16" t="n">
        <v>25.5361742335232</v>
      </c>
      <c r="O271" s="16" t="n">
        <v>-8.48987268244684</v>
      </c>
      <c r="P271" s="16" t="n">
        <v>-2.86605256559189</v>
      </c>
      <c r="Q271" s="16" t="n">
        <v>0.00162594519238225</v>
      </c>
      <c r="R271" s="16" t="n">
        <v>-8.74935584080237</v>
      </c>
      <c r="S271" s="16" t="n">
        <v>0</v>
      </c>
      <c r="T271" s="16" t="n">
        <v>13.9223917723213</v>
      </c>
      <c r="U271" s="16" t="n">
        <v>0</v>
      </c>
      <c r="V271" s="16" t="n">
        <v>0</v>
      </c>
      <c r="W271" s="16" t="n">
        <v>587.375</v>
      </c>
      <c r="X271" s="16" t="n">
        <v>11.90625</v>
      </c>
      <c r="Y271" s="16" t="n">
        <v>7.39994732797156</v>
      </c>
      <c r="Z271" s="16" t="n">
        <v>0</v>
      </c>
      <c r="AA271" s="16" t="n">
        <v>0</v>
      </c>
      <c r="AB271" s="16" t="n">
        <v>0</v>
      </c>
      <c r="AC271" s="16" t="n">
        <v>579.975052672029</v>
      </c>
      <c r="AD271" s="16" t="n">
        <v>238.161944512217</v>
      </c>
      <c r="AE271" s="16" t="n">
        <v>0</v>
      </c>
      <c r="AF271" s="16" t="n">
        <v>0</v>
      </c>
      <c r="AG271" s="16" t="n">
        <v>238.161944512217</v>
      </c>
      <c r="AH271" s="16" t="n">
        <v>5.85319444434975</v>
      </c>
      <c r="AI271" s="16" t="n">
        <v>5.85319444434975</v>
      </c>
      <c r="AJ271" s="16" t="n">
        <v>0.66925</v>
      </c>
      <c r="AK271" s="16" t="n">
        <v>0</v>
      </c>
      <c r="AL271" s="16" t="n">
        <v>0</v>
      </c>
      <c r="AM271" s="16" t="n">
        <v>4.50630267202844</v>
      </c>
      <c r="AN271" s="16" t="n">
        <v>880.755997184246</v>
      </c>
      <c r="AO271" s="16" t="n">
        <v>0</v>
      </c>
      <c r="AP271" s="16" t="n">
        <v>238.161944512217</v>
      </c>
      <c r="AQ271" s="14" t="n">
        <v>55.6380554877825</v>
      </c>
      <c r="AR271" s="14" t="s">
        <v>521</v>
      </c>
      <c r="AS271" s="29" t="n">
        <v>46327</v>
      </c>
      <c r="AT271" s="14" t="n">
        <v>130.357925183182</v>
      </c>
      <c r="AU271" s="17" t="n">
        <v>6.75644381380407</v>
      </c>
      <c r="AV271" s="17" t="n">
        <v>1.87027533024986</v>
      </c>
      <c r="AW271" s="16" t="n">
        <v>0</v>
      </c>
      <c r="AX271" s="14" t="s">
        <v>257</v>
      </c>
      <c r="AY271" s="14" t="s">
        <v>361</v>
      </c>
      <c r="AZ271" s="14" t="s">
        <v>461</v>
      </c>
      <c r="BA271" s="14" t="s">
        <v>259</v>
      </c>
      <c r="BB271" s="14" t="s">
        <v>563</v>
      </c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</row>
    <row r="272" customFormat="false" ht="15" hidden="false" customHeight="false" outlineLevel="0" collapsed="false">
      <c r="C272" s="14" t="s">
        <v>290</v>
      </c>
      <c r="D272" s="14" t="s">
        <v>291</v>
      </c>
      <c r="E272" s="14" t="s">
        <v>315</v>
      </c>
      <c r="F272" s="14" t="s">
        <v>253</v>
      </c>
      <c r="G272" s="29" t="n">
        <v>46508</v>
      </c>
      <c r="H272" s="29" t="n">
        <v>46538</v>
      </c>
      <c r="I272" s="14" t="s">
        <v>302</v>
      </c>
      <c r="J272" s="14" t="s">
        <v>271</v>
      </c>
      <c r="K272" s="14" t="n">
        <v>31</v>
      </c>
      <c r="L272" s="16" t="n">
        <v>42.0961001160614</v>
      </c>
      <c r="M272" s="30" t="n">
        <v>27.6901735836919</v>
      </c>
      <c r="N272" s="16" t="n">
        <v>3.80383458235193</v>
      </c>
      <c r="O272" s="16" t="n">
        <v>-9.29283791267971</v>
      </c>
      <c r="P272" s="16" t="n">
        <v>-0.35854022865465</v>
      </c>
      <c r="Q272" s="16" t="n">
        <v>0.000276025513253023</v>
      </c>
      <c r="R272" s="16" t="n">
        <v>-1.47336350406215</v>
      </c>
      <c r="S272" s="16" t="n">
        <v>0</v>
      </c>
      <c r="T272" s="16" t="n">
        <v>1.97220687514838</v>
      </c>
      <c r="U272" s="16" t="n">
        <v>0</v>
      </c>
      <c r="V272" s="16" t="n">
        <v>0</v>
      </c>
      <c r="W272" s="16" t="n">
        <v>579.975052672029</v>
      </c>
      <c r="X272" s="16" t="n">
        <v>0</v>
      </c>
      <c r="Y272" s="16" t="n">
        <v>0</v>
      </c>
      <c r="Z272" s="16" t="n">
        <v>0</v>
      </c>
      <c r="AA272" s="16" t="n">
        <v>0</v>
      </c>
      <c r="AB272" s="16" t="n">
        <v>0</v>
      </c>
      <c r="AC272" s="16" t="n">
        <v>579.975052672029</v>
      </c>
      <c r="AD272" s="16" t="n">
        <v>238.161944512217</v>
      </c>
      <c r="AE272" s="16" t="n">
        <v>0</v>
      </c>
      <c r="AF272" s="16" t="n">
        <v>0</v>
      </c>
      <c r="AG272" s="16" t="n">
        <v>238.161944512217</v>
      </c>
      <c r="AH272" s="16" t="n">
        <v>5.84286172155749</v>
      </c>
      <c r="AI272" s="16" t="n">
        <v>1.97220687514838</v>
      </c>
      <c r="AJ272" s="16" t="n">
        <v>0</v>
      </c>
      <c r="AK272" s="16" t="n">
        <v>0</v>
      </c>
      <c r="AL272" s="16" t="n">
        <v>0</v>
      </c>
      <c r="AM272" s="16" t="n">
        <v>3.87065484640911</v>
      </c>
      <c r="AN272" s="16" t="n">
        <v>880.755997184246</v>
      </c>
      <c r="AO272" s="16" t="n">
        <v>0</v>
      </c>
      <c r="AP272" s="16" t="n">
        <v>238.161944512217</v>
      </c>
      <c r="AQ272" s="14" t="n">
        <v>55.6380554877825</v>
      </c>
      <c r="AR272" s="14" t="s">
        <v>521</v>
      </c>
      <c r="AS272" s="29" t="n">
        <v>46327</v>
      </c>
      <c r="AT272" s="14" t="n">
        <v>130.35783008494</v>
      </c>
      <c r="AU272" s="17" t="n">
        <v>6.75644874274412</v>
      </c>
      <c r="AV272" s="17" t="n">
        <v>1.98848134288742</v>
      </c>
      <c r="AW272" s="16" t="n">
        <v>0</v>
      </c>
      <c r="AX272" s="14" t="s">
        <v>257</v>
      </c>
      <c r="AY272" s="14" t="s">
        <v>361</v>
      </c>
      <c r="AZ272" s="14" t="s">
        <v>461</v>
      </c>
      <c r="BA272" s="14" t="s">
        <v>259</v>
      </c>
      <c r="BB272" s="14" t="s">
        <v>564</v>
      </c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</row>
    <row r="273" customFormat="false" ht="15" hidden="false" customHeight="false" outlineLevel="0" collapsed="false">
      <c r="C273" s="14" t="s">
        <v>290</v>
      </c>
      <c r="D273" s="14" t="s">
        <v>291</v>
      </c>
      <c r="E273" s="14" t="s">
        <v>317</v>
      </c>
      <c r="F273" s="14" t="s">
        <v>253</v>
      </c>
      <c r="G273" s="29" t="n">
        <v>46539</v>
      </c>
      <c r="H273" s="29" t="n">
        <v>46568</v>
      </c>
      <c r="I273" s="14" t="s">
        <v>302</v>
      </c>
      <c r="J273" s="14" t="s">
        <v>271</v>
      </c>
      <c r="K273" s="14" t="n">
        <v>30</v>
      </c>
      <c r="L273" s="16" t="n">
        <v>105.240250290153</v>
      </c>
      <c r="M273" s="30" t="n">
        <v>27.6901735836919</v>
      </c>
      <c r="N273" s="16" t="n">
        <v>9.50958645587982</v>
      </c>
      <c r="O273" s="16" t="n">
        <v>-9.29283791267971</v>
      </c>
      <c r="P273" s="16" t="n">
        <v>-0.896350571636625</v>
      </c>
      <c r="Q273" s="16" t="n">
        <v>0.000690063783132557</v>
      </c>
      <c r="R273" s="16" t="n">
        <v>-3.68340876015537</v>
      </c>
      <c r="S273" s="16" t="n">
        <v>0</v>
      </c>
      <c r="T273" s="16" t="n">
        <v>4.93051718787096</v>
      </c>
      <c r="U273" s="16" t="n">
        <v>0</v>
      </c>
      <c r="V273" s="16" t="n">
        <v>0</v>
      </c>
      <c r="W273" s="16" t="n">
        <v>579.975052672029</v>
      </c>
      <c r="X273" s="16" t="n">
        <v>0</v>
      </c>
      <c r="Y273" s="16" t="n">
        <v>0</v>
      </c>
      <c r="Z273" s="16" t="n">
        <v>0</v>
      </c>
      <c r="AA273" s="16" t="n">
        <v>0</v>
      </c>
      <c r="AB273" s="16" t="n">
        <v>0</v>
      </c>
      <c r="AC273" s="16" t="n">
        <v>579.975052672029</v>
      </c>
      <c r="AD273" s="16" t="n">
        <v>238.161944512217</v>
      </c>
      <c r="AE273" s="16" t="n">
        <v>0</v>
      </c>
      <c r="AF273" s="16" t="n">
        <v>0</v>
      </c>
      <c r="AG273" s="16" t="n">
        <v>238.161944512217</v>
      </c>
      <c r="AH273" s="16" t="n">
        <v>5.84286172155749</v>
      </c>
      <c r="AI273" s="16" t="n">
        <v>4.93051718787096</v>
      </c>
      <c r="AJ273" s="16" t="n">
        <v>0</v>
      </c>
      <c r="AK273" s="16" t="n">
        <v>0</v>
      </c>
      <c r="AL273" s="16" t="n">
        <v>0</v>
      </c>
      <c r="AM273" s="16" t="n">
        <v>0.912344533686535</v>
      </c>
      <c r="AN273" s="16" t="n">
        <v>880.755997184246</v>
      </c>
      <c r="AO273" s="16" t="n">
        <v>0</v>
      </c>
      <c r="AP273" s="16" t="n">
        <v>238.161944512217</v>
      </c>
      <c r="AQ273" s="14" t="n">
        <v>55.6380554877825</v>
      </c>
      <c r="AR273" s="14" t="s">
        <v>521</v>
      </c>
      <c r="AS273" s="29" t="n">
        <v>46327</v>
      </c>
      <c r="AT273" s="14" t="n">
        <v>130.357592339335</v>
      </c>
      <c r="AU273" s="17" t="n">
        <v>6.75646106512569</v>
      </c>
      <c r="AV273" s="17" t="n">
        <v>2.02567643340028</v>
      </c>
      <c r="AW273" s="16" t="n">
        <v>0</v>
      </c>
      <c r="AX273" s="14" t="s">
        <v>257</v>
      </c>
      <c r="AY273" s="14" t="s">
        <v>361</v>
      </c>
      <c r="AZ273" s="14" t="s">
        <v>461</v>
      </c>
      <c r="BA273" s="14" t="s">
        <v>259</v>
      </c>
      <c r="BB273" s="14" t="s">
        <v>565</v>
      </c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</row>
    <row r="274" customFormat="false" ht="15" hidden="false" customHeight="false" outlineLevel="0" collapsed="false">
      <c r="C274" s="14" t="s">
        <v>290</v>
      </c>
      <c r="D274" s="14" t="s">
        <v>291</v>
      </c>
      <c r="E274" s="14" t="s">
        <v>319</v>
      </c>
      <c r="F274" s="14" t="s">
        <v>253</v>
      </c>
      <c r="G274" s="29" t="n">
        <v>46569</v>
      </c>
      <c r="H274" s="29" t="n">
        <v>46599</v>
      </c>
      <c r="I274" s="14" t="s">
        <v>302</v>
      </c>
      <c r="J274" s="14" t="s">
        <v>271</v>
      </c>
      <c r="K274" s="14" t="n">
        <v>31</v>
      </c>
      <c r="L274" s="16" t="n">
        <v>273.624650754399</v>
      </c>
      <c r="M274" s="30" t="n">
        <v>27.6901735836919</v>
      </c>
      <c r="N274" s="16" t="n">
        <v>24.7249247852875</v>
      </c>
      <c r="O274" s="16" t="n">
        <v>-9.29283791267971</v>
      </c>
      <c r="P274" s="16" t="n">
        <v>-2.33051148625523</v>
      </c>
      <c r="Q274" s="16" t="n">
        <v>0.00179416583614465</v>
      </c>
      <c r="R274" s="16" t="n">
        <v>-9.57686277640396</v>
      </c>
      <c r="S274" s="16" t="n">
        <v>0</v>
      </c>
      <c r="T274" s="16" t="n">
        <v>12.8193446884645</v>
      </c>
      <c r="U274" s="16" t="n">
        <v>0</v>
      </c>
      <c r="V274" s="16" t="n">
        <v>0</v>
      </c>
      <c r="W274" s="16" t="n">
        <v>579.975052672029</v>
      </c>
      <c r="X274" s="16" t="n">
        <v>11.90625</v>
      </c>
      <c r="Y274" s="16" t="n">
        <v>6.34974820128199</v>
      </c>
      <c r="Z274" s="16" t="n">
        <v>0</v>
      </c>
      <c r="AA274" s="16" t="n">
        <v>0</v>
      </c>
      <c r="AB274" s="16" t="n">
        <v>0</v>
      </c>
      <c r="AC274" s="16" t="n">
        <v>573.625304470746</v>
      </c>
      <c r="AD274" s="16" t="n">
        <v>238.161944512217</v>
      </c>
      <c r="AE274" s="16" t="n">
        <v>0</v>
      </c>
      <c r="AF274" s="16" t="n">
        <v>0</v>
      </c>
      <c r="AG274" s="16" t="n">
        <v>238.161944512217</v>
      </c>
      <c r="AH274" s="16" t="n">
        <v>5.80034648718249</v>
      </c>
      <c r="AI274" s="16" t="n">
        <v>5.80034648718249</v>
      </c>
      <c r="AJ274" s="16" t="n">
        <v>0.66925</v>
      </c>
      <c r="AK274" s="16" t="n">
        <v>0</v>
      </c>
      <c r="AL274" s="16" t="n">
        <v>0</v>
      </c>
      <c r="AM274" s="16" t="n">
        <v>5.55650179871801</v>
      </c>
      <c r="AN274" s="16" t="n">
        <v>874.406248982964</v>
      </c>
      <c r="AO274" s="16" t="n">
        <v>0</v>
      </c>
      <c r="AP274" s="16" t="n">
        <v>238.161944512217</v>
      </c>
      <c r="AQ274" s="14" t="n">
        <v>55.6380554877825</v>
      </c>
      <c r="AR274" s="14" t="s">
        <v>521</v>
      </c>
      <c r="AS274" s="29" t="n">
        <v>46327</v>
      </c>
      <c r="AT274" s="14" t="n">
        <v>130.356974200762</v>
      </c>
      <c r="AU274" s="17" t="n">
        <v>6.70778264334592</v>
      </c>
      <c r="AV274" s="17" t="n">
        <v>2.03475518664767</v>
      </c>
      <c r="AW274" s="16" t="n">
        <v>0</v>
      </c>
      <c r="AX274" s="14" t="s">
        <v>257</v>
      </c>
      <c r="AY274" s="14" t="s">
        <v>361</v>
      </c>
      <c r="AZ274" s="14" t="s">
        <v>461</v>
      </c>
      <c r="BA274" s="14" t="s">
        <v>259</v>
      </c>
      <c r="BB274" s="14" t="s">
        <v>566</v>
      </c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</row>
    <row r="275" customFormat="false" ht="15" hidden="false" customHeight="false" outlineLevel="0" collapsed="false">
      <c r="C275" s="14" t="s">
        <v>290</v>
      </c>
      <c r="D275" s="14" t="s">
        <v>291</v>
      </c>
      <c r="E275" s="14" t="s">
        <v>321</v>
      </c>
      <c r="F275" s="14" t="s">
        <v>253</v>
      </c>
      <c r="G275" s="29" t="n">
        <v>46600</v>
      </c>
      <c r="H275" s="29" t="n">
        <v>46630</v>
      </c>
      <c r="I275" s="14" t="s">
        <v>302</v>
      </c>
      <c r="J275" s="14" t="s">
        <v>288</v>
      </c>
      <c r="K275" s="14" t="n">
        <v>31</v>
      </c>
      <c r="L275" s="16" t="n">
        <v>41.6348281805231</v>
      </c>
      <c r="M275" s="30" t="n">
        <v>27.9159174302794</v>
      </c>
      <c r="N275" s="16" t="n">
        <v>3.85614177349056</v>
      </c>
      <c r="O275" s="16" t="n">
        <v>-9.19101077622747</v>
      </c>
      <c r="P275" s="16" t="n">
        <v>-0.378108506388139</v>
      </c>
      <c r="Q275" s="16" t="n">
        <v>0.00027258029028027</v>
      </c>
      <c r="R275" s="16" t="n">
        <v>-1.45721898631831</v>
      </c>
      <c r="S275" s="16" t="n">
        <v>0</v>
      </c>
      <c r="T275" s="16" t="n">
        <v>2.0210868610744</v>
      </c>
      <c r="U275" s="16" t="n">
        <v>0</v>
      </c>
      <c r="V275" s="16" t="n">
        <v>0</v>
      </c>
      <c r="W275" s="16" t="n">
        <v>573.625304470746</v>
      </c>
      <c r="X275" s="16" t="n">
        <v>0</v>
      </c>
      <c r="Y275" s="16" t="n">
        <v>0</v>
      </c>
      <c r="Z275" s="16" t="n">
        <v>0</v>
      </c>
      <c r="AA275" s="16" t="n">
        <v>0</v>
      </c>
      <c r="AB275" s="16" t="n">
        <v>0</v>
      </c>
      <c r="AC275" s="16" t="n">
        <v>573.625304470746</v>
      </c>
      <c r="AD275" s="16" t="n">
        <v>238.161944512217</v>
      </c>
      <c r="AE275" s="16" t="n">
        <v>0</v>
      </c>
      <c r="AF275" s="16" t="n">
        <v>0</v>
      </c>
      <c r="AG275" s="16" t="n">
        <v>238.161944512217</v>
      </c>
      <c r="AH275" s="16" t="n">
        <v>5.79751393648667</v>
      </c>
      <c r="AI275" s="16" t="n">
        <v>2.0210868610744</v>
      </c>
      <c r="AJ275" s="16" t="n">
        <v>0</v>
      </c>
      <c r="AK275" s="16" t="n">
        <v>0</v>
      </c>
      <c r="AL275" s="16" t="n">
        <v>0</v>
      </c>
      <c r="AM275" s="16" t="n">
        <v>3.77642707541227</v>
      </c>
      <c r="AN275" s="16" t="n">
        <v>874.406248982964</v>
      </c>
      <c r="AO275" s="16" t="n">
        <v>0</v>
      </c>
      <c r="AP275" s="16" t="n">
        <v>238.161944512217</v>
      </c>
      <c r="AQ275" s="14" t="n">
        <v>55.6380554877825</v>
      </c>
      <c r="AR275" s="14" t="s">
        <v>521</v>
      </c>
      <c r="AS275" s="29" t="n">
        <v>46327</v>
      </c>
      <c r="AT275" s="14" t="n">
        <v>130.356877794808</v>
      </c>
      <c r="AU275" s="17" t="n">
        <v>6.70778760411361</v>
      </c>
      <c r="AV275" s="17" t="n">
        <v>2.17161376380266</v>
      </c>
      <c r="AW275" s="16" t="n">
        <v>0</v>
      </c>
      <c r="AX275" s="14" t="s">
        <v>257</v>
      </c>
      <c r="AY275" s="14" t="s">
        <v>361</v>
      </c>
      <c r="AZ275" s="14" t="s">
        <v>461</v>
      </c>
      <c r="BA275" s="14" t="s">
        <v>259</v>
      </c>
      <c r="BB275" s="14" t="s">
        <v>567</v>
      </c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</row>
    <row r="276" customFormat="false" ht="15" hidden="false" customHeight="false" outlineLevel="0" collapsed="false">
      <c r="C276" s="14" t="s">
        <v>290</v>
      </c>
      <c r="D276" s="14" t="s">
        <v>291</v>
      </c>
      <c r="E276" s="14" t="s">
        <v>323</v>
      </c>
      <c r="F276" s="14" t="s">
        <v>253</v>
      </c>
      <c r="G276" s="29" t="n">
        <v>46631</v>
      </c>
      <c r="H276" s="29" t="n">
        <v>46660</v>
      </c>
      <c r="I276" s="14" t="s">
        <v>302</v>
      </c>
      <c r="J276" s="14" t="s">
        <v>288</v>
      </c>
      <c r="K276" s="14" t="n">
        <v>30</v>
      </c>
      <c r="L276" s="16" t="n">
        <v>104.087070451308</v>
      </c>
      <c r="M276" s="30" t="n">
        <v>27.9159174302794</v>
      </c>
      <c r="N276" s="16" t="n">
        <v>9.6403544337264</v>
      </c>
      <c r="O276" s="16" t="n">
        <v>-9.19101077622747</v>
      </c>
      <c r="P276" s="16" t="n">
        <v>-0.945271265970348</v>
      </c>
      <c r="Q276" s="16" t="n">
        <v>0.000681450725700674</v>
      </c>
      <c r="R276" s="16" t="n">
        <v>-3.64304746579577</v>
      </c>
      <c r="S276" s="16" t="n">
        <v>0</v>
      </c>
      <c r="T276" s="16" t="n">
        <v>5.05271715268599</v>
      </c>
      <c r="U276" s="16" t="n">
        <v>0</v>
      </c>
      <c r="V276" s="16" t="n">
        <v>0</v>
      </c>
      <c r="W276" s="16" t="n">
        <v>573.625304470746</v>
      </c>
      <c r="X276" s="16" t="n">
        <v>0</v>
      </c>
      <c r="Y276" s="16" t="n">
        <v>0</v>
      </c>
      <c r="Z276" s="16" t="n">
        <v>0</v>
      </c>
      <c r="AA276" s="16" t="n">
        <v>0</v>
      </c>
      <c r="AB276" s="16" t="n">
        <v>0</v>
      </c>
      <c r="AC276" s="16" t="n">
        <v>573.625304470746</v>
      </c>
      <c r="AD276" s="16" t="n">
        <v>238.161944512217</v>
      </c>
      <c r="AE276" s="16" t="n">
        <v>0</v>
      </c>
      <c r="AF276" s="16" t="n">
        <v>0</v>
      </c>
      <c r="AG276" s="16" t="n">
        <v>238.161944512217</v>
      </c>
      <c r="AH276" s="16" t="n">
        <v>5.79751393648667</v>
      </c>
      <c r="AI276" s="16" t="n">
        <v>5.05271715268599</v>
      </c>
      <c r="AJ276" s="16" t="n">
        <v>0</v>
      </c>
      <c r="AK276" s="16" t="n">
        <v>0</v>
      </c>
      <c r="AL276" s="16" t="n">
        <v>0</v>
      </c>
      <c r="AM276" s="16" t="n">
        <v>0.74479678380068</v>
      </c>
      <c r="AN276" s="16" t="n">
        <v>874.406248982964</v>
      </c>
      <c r="AO276" s="16" t="n">
        <v>0</v>
      </c>
      <c r="AP276" s="16" t="n">
        <v>238.161944512217</v>
      </c>
      <c r="AQ276" s="14" t="n">
        <v>55.6380554877825</v>
      </c>
      <c r="AR276" s="14" t="s">
        <v>521</v>
      </c>
      <c r="AS276" s="29" t="n">
        <v>46327</v>
      </c>
      <c r="AT276" s="14" t="n">
        <v>130.356636779921</v>
      </c>
      <c r="AU276" s="17" t="n">
        <v>6.70780000606495</v>
      </c>
      <c r="AV276" s="17" t="n">
        <v>2.2092948200508</v>
      </c>
      <c r="AW276" s="16" t="n">
        <v>0</v>
      </c>
      <c r="AX276" s="14" t="s">
        <v>257</v>
      </c>
      <c r="AY276" s="14" t="s">
        <v>361</v>
      </c>
      <c r="AZ276" s="14" t="s">
        <v>461</v>
      </c>
      <c r="BA276" s="14" t="s">
        <v>259</v>
      </c>
      <c r="BB276" s="14" t="s">
        <v>568</v>
      </c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</row>
    <row r="277" customFormat="false" ht="15" hidden="false" customHeight="false" outlineLevel="0" collapsed="false">
      <c r="C277" s="14" t="s">
        <v>290</v>
      </c>
      <c r="D277" s="14" t="s">
        <v>291</v>
      </c>
      <c r="E277" s="14" t="s">
        <v>325</v>
      </c>
      <c r="F277" s="14" t="s">
        <v>253</v>
      </c>
      <c r="G277" s="29" t="n">
        <v>46661</v>
      </c>
      <c r="H277" s="29" t="n">
        <v>46691</v>
      </c>
      <c r="I277" s="14" t="s">
        <v>302</v>
      </c>
      <c r="J277" s="14" t="s">
        <v>288</v>
      </c>
      <c r="K277" s="14" t="n">
        <v>31</v>
      </c>
      <c r="L277" s="16" t="n">
        <v>270.6263831734</v>
      </c>
      <c r="M277" s="30" t="n">
        <v>27.9159174302794</v>
      </c>
      <c r="N277" s="16" t="n">
        <v>25.0649215276886</v>
      </c>
      <c r="O277" s="16" t="n">
        <v>-9.19101077622747</v>
      </c>
      <c r="P277" s="16" t="n">
        <v>-2.4577052915229</v>
      </c>
      <c r="Q277" s="16" t="n">
        <v>0.00177177188682175</v>
      </c>
      <c r="R277" s="16" t="n">
        <v>-9.471923411069</v>
      </c>
      <c r="S277" s="16" t="n">
        <v>0</v>
      </c>
      <c r="T277" s="16" t="n">
        <v>13.1370645969836</v>
      </c>
      <c r="U277" s="16" t="n">
        <v>0</v>
      </c>
      <c r="V277" s="16" t="n">
        <v>0</v>
      </c>
      <c r="W277" s="16" t="n">
        <v>573.625304470746</v>
      </c>
      <c r="X277" s="16" t="n">
        <v>11.90625</v>
      </c>
      <c r="Y277" s="16" t="n">
        <v>6.7128158948719</v>
      </c>
      <c r="Z277" s="16" t="n">
        <v>0</v>
      </c>
      <c r="AA277" s="16" t="n">
        <v>0</v>
      </c>
      <c r="AB277" s="16" t="n">
        <v>0</v>
      </c>
      <c r="AC277" s="16" t="n">
        <v>566.912488575875</v>
      </c>
      <c r="AD277" s="16" t="n">
        <v>238.161944512217</v>
      </c>
      <c r="AE277" s="16" t="n">
        <v>0</v>
      </c>
      <c r="AF277" s="16" t="n">
        <v>0</v>
      </c>
      <c r="AG277" s="16" t="n">
        <v>238.161944512217</v>
      </c>
      <c r="AH277" s="16" t="n">
        <v>5.75499870211167</v>
      </c>
      <c r="AI277" s="16" t="n">
        <v>5.75499870211167</v>
      </c>
      <c r="AJ277" s="16" t="n">
        <v>0.66925</v>
      </c>
      <c r="AK277" s="16" t="n">
        <v>0</v>
      </c>
      <c r="AL277" s="16" t="n">
        <v>0</v>
      </c>
      <c r="AM277" s="16" t="n">
        <v>5.1934341051281</v>
      </c>
      <c r="AN277" s="16" t="n">
        <v>867.693433088092</v>
      </c>
      <c r="AO277" s="16" t="n">
        <v>0</v>
      </c>
      <c r="AP277" s="16" t="n">
        <v>238.161944512217</v>
      </c>
      <c r="AQ277" s="14" t="n">
        <v>55.6380554877825</v>
      </c>
      <c r="AR277" s="14" t="s">
        <v>521</v>
      </c>
      <c r="AS277" s="29" t="n">
        <v>46327</v>
      </c>
      <c r="AT277" s="14" t="n">
        <v>130.356010141217</v>
      </c>
      <c r="AU277" s="17" t="n">
        <v>6.6563362298992</v>
      </c>
      <c r="AV277" s="17" t="n">
        <v>2.21958102405182</v>
      </c>
      <c r="AW277" s="16" t="n">
        <v>0</v>
      </c>
      <c r="AX277" s="14" t="s">
        <v>257</v>
      </c>
      <c r="AY277" s="14" t="s">
        <v>361</v>
      </c>
      <c r="AZ277" s="14" t="s">
        <v>461</v>
      </c>
      <c r="BA277" s="14" t="s">
        <v>259</v>
      </c>
      <c r="BB277" s="14" t="s">
        <v>569</v>
      </c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</row>
    <row r="278" customFormat="false" ht="15" hidden="false" customHeight="false" outlineLevel="0" collapsed="false">
      <c r="C278" s="14" t="s">
        <v>290</v>
      </c>
      <c r="D278" s="14" t="s">
        <v>291</v>
      </c>
      <c r="E278" s="14" t="s">
        <v>327</v>
      </c>
      <c r="F278" s="14" t="s">
        <v>253</v>
      </c>
      <c r="G278" s="29" t="n">
        <v>46692</v>
      </c>
      <c r="H278" s="29" t="n">
        <v>46721</v>
      </c>
      <c r="I278" s="14" t="s">
        <v>328</v>
      </c>
      <c r="J278" s="14" t="s">
        <v>303</v>
      </c>
      <c r="K278" s="14" t="n">
        <v>30</v>
      </c>
      <c r="L278" s="16" t="n">
        <v>34.0011897832565</v>
      </c>
      <c r="M278" s="30" t="n">
        <v>22.9096754759419</v>
      </c>
      <c r="N278" s="16" t="n">
        <v>1.44694629394473</v>
      </c>
      <c r="O278" s="16" t="n">
        <v>-7.50586264815323</v>
      </c>
      <c r="P278" s="16" t="n">
        <v>0</v>
      </c>
      <c r="Q278" s="16" t="n">
        <v>0.000230221586671479</v>
      </c>
      <c r="R278" s="16" t="n">
        <v>-1.19004164241398</v>
      </c>
      <c r="S278" s="16" t="n">
        <v>0</v>
      </c>
      <c r="T278" s="16" t="n">
        <v>0.257134873117422</v>
      </c>
      <c r="U278" s="16" t="n">
        <v>0</v>
      </c>
      <c r="V278" s="16" t="n">
        <v>0</v>
      </c>
      <c r="W278" s="16" t="n">
        <v>566.912488575875</v>
      </c>
      <c r="X278" s="16" t="n">
        <v>0</v>
      </c>
      <c r="Y278" s="16" t="n">
        <v>0</v>
      </c>
      <c r="Z278" s="16" t="n">
        <v>0</v>
      </c>
      <c r="AA278" s="16" t="n">
        <v>0</v>
      </c>
      <c r="AB278" s="16" t="n">
        <v>0</v>
      </c>
      <c r="AC278" s="16" t="n">
        <v>566.912488575875</v>
      </c>
      <c r="AD278" s="16" t="n">
        <v>238.161944512217</v>
      </c>
      <c r="AE278" s="16" t="n">
        <v>0</v>
      </c>
      <c r="AF278" s="16" t="n">
        <v>0</v>
      </c>
      <c r="AG278" s="16" t="n">
        <v>238.161944512217</v>
      </c>
      <c r="AH278" s="16" t="n">
        <v>5.74957324297079</v>
      </c>
      <c r="AI278" s="16" t="n">
        <v>0.257134873117422</v>
      </c>
      <c r="AJ278" s="16" t="n">
        <v>0</v>
      </c>
      <c r="AK278" s="16" t="n">
        <v>0</v>
      </c>
      <c r="AL278" s="16" t="n">
        <v>0</v>
      </c>
      <c r="AM278" s="16" t="n">
        <v>5.49243836985337</v>
      </c>
      <c r="AN278" s="16" t="n">
        <v>867.693433088092</v>
      </c>
      <c r="AO278" s="16" t="n">
        <v>0</v>
      </c>
      <c r="AP278" s="16" t="n">
        <v>238.161944512217</v>
      </c>
      <c r="AQ278" s="14" t="n">
        <v>55.6380554877825</v>
      </c>
      <c r="AR278" s="14" t="s">
        <v>521</v>
      </c>
      <c r="AS278" s="29" t="n">
        <v>46327</v>
      </c>
      <c r="AT278" s="14" t="n">
        <v>130.355973966656</v>
      </c>
      <c r="AU278" s="17" t="n">
        <v>6.65633807707228</v>
      </c>
      <c r="AV278" s="17" t="n">
        <v>2.45924961036126</v>
      </c>
      <c r="AW278" s="16" t="n">
        <v>0</v>
      </c>
      <c r="AX278" s="14" t="s">
        <v>257</v>
      </c>
      <c r="AY278" s="14" t="s">
        <v>361</v>
      </c>
      <c r="AZ278" s="14" t="s">
        <v>461</v>
      </c>
      <c r="BA278" s="14" t="s">
        <v>259</v>
      </c>
      <c r="BB278" s="14" t="s">
        <v>570</v>
      </c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</row>
    <row r="279" customFormat="false" ht="15" hidden="false" customHeight="false" outlineLevel="0" collapsed="false">
      <c r="C279" s="14" t="s">
        <v>290</v>
      </c>
      <c r="D279" s="14" t="s">
        <v>291</v>
      </c>
      <c r="E279" s="14" t="s">
        <v>330</v>
      </c>
      <c r="F279" s="14" t="s">
        <v>253</v>
      </c>
      <c r="G279" s="29" t="n">
        <v>46722</v>
      </c>
      <c r="H279" s="29" t="n">
        <v>46752</v>
      </c>
      <c r="I279" s="14" t="s">
        <v>328</v>
      </c>
      <c r="J279" s="14" t="s">
        <v>303</v>
      </c>
      <c r="K279" s="14" t="n">
        <v>31</v>
      </c>
      <c r="L279" s="16" t="n">
        <v>85.0029744581412</v>
      </c>
      <c r="M279" s="30" t="n">
        <v>22.9096754759419</v>
      </c>
      <c r="N279" s="16" t="n">
        <v>3.61736573486182</v>
      </c>
      <c r="O279" s="16" t="n">
        <v>-7.50586264815323</v>
      </c>
      <c r="P279" s="16" t="n">
        <v>0</v>
      </c>
      <c r="Q279" s="16" t="n">
        <v>0.000575553966678696</v>
      </c>
      <c r="R279" s="16" t="n">
        <v>-2.97510410603494</v>
      </c>
      <c r="S279" s="16" t="n">
        <v>0</v>
      </c>
      <c r="T279" s="16" t="n">
        <v>0.642837182793555</v>
      </c>
      <c r="U279" s="16" t="n">
        <v>0</v>
      </c>
      <c r="V279" s="16" t="n">
        <v>0</v>
      </c>
      <c r="W279" s="16" t="n">
        <v>566.912488575875</v>
      </c>
      <c r="X279" s="16" t="n">
        <v>0</v>
      </c>
      <c r="Y279" s="16" t="n">
        <v>0</v>
      </c>
      <c r="Z279" s="16" t="n">
        <v>0</v>
      </c>
      <c r="AA279" s="16" t="n">
        <v>0</v>
      </c>
      <c r="AB279" s="16" t="n">
        <v>0</v>
      </c>
      <c r="AC279" s="16" t="n">
        <v>566.912488575875</v>
      </c>
      <c r="AD279" s="16" t="n">
        <v>238.161944512217</v>
      </c>
      <c r="AE279" s="16" t="n">
        <v>0</v>
      </c>
      <c r="AF279" s="16" t="n">
        <v>0</v>
      </c>
      <c r="AG279" s="16" t="n">
        <v>238.161944512217</v>
      </c>
      <c r="AH279" s="16" t="n">
        <v>5.74957324297079</v>
      </c>
      <c r="AI279" s="16" t="n">
        <v>0.642837182793555</v>
      </c>
      <c r="AJ279" s="16" t="n">
        <v>0</v>
      </c>
      <c r="AK279" s="16" t="n">
        <v>0</v>
      </c>
      <c r="AL279" s="16" t="n">
        <v>0</v>
      </c>
      <c r="AM279" s="16" t="n">
        <v>5.10673606017724</v>
      </c>
      <c r="AN279" s="16" t="n">
        <v>867.693433088092</v>
      </c>
      <c r="AO279" s="16" t="n">
        <v>0</v>
      </c>
      <c r="AP279" s="16" t="n">
        <v>238.161944512217</v>
      </c>
      <c r="AQ279" s="14" t="n">
        <v>55.6380554877825</v>
      </c>
      <c r="AR279" s="14" t="s">
        <v>521</v>
      </c>
      <c r="AS279" s="29" t="n">
        <v>46327</v>
      </c>
      <c r="AT279" s="14" t="n">
        <v>130.355883530251</v>
      </c>
      <c r="AU279" s="17" t="n">
        <v>6.65634269500946</v>
      </c>
      <c r="AV279" s="17" t="n">
        <v>2.73463368074599</v>
      </c>
      <c r="AW279" s="16" t="n">
        <v>0</v>
      </c>
      <c r="AX279" s="14" t="s">
        <v>257</v>
      </c>
      <c r="AY279" s="14" t="s">
        <v>361</v>
      </c>
      <c r="AZ279" s="14" t="s">
        <v>461</v>
      </c>
      <c r="BA279" s="14" t="s">
        <v>259</v>
      </c>
      <c r="BB279" s="14" t="s">
        <v>571</v>
      </c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</row>
    <row r="280" customFormat="false" ht="15" hidden="false" customHeight="false" outlineLevel="0" collapsed="false">
      <c r="C280" s="14" t="s">
        <v>290</v>
      </c>
      <c r="D280" s="14" t="s">
        <v>291</v>
      </c>
      <c r="E280" s="14" t="s">
        <v>332</v>
      </c>
      <c r="F280" s="14" t="s">
        <v>253</v>
      </c>
      <c r="G280" s="29" t="n">
        <v>46753</v>
      </c>
      <c r="H280" s="29" t="n">
        <v>46783</v>
      </c>
      <c r="I280" s="14" t="s">
        <v>328</v>
      </c>
      <c r="J280" s="14" t="s">
        <v>303</v>
      </c>
      <c r="K280" s="14" t="n">
        <v>31</v>
      </c>
      <c r="L280" s="16" t="n">
        <v>221.007733591167</v>
      </c>
      <c r="M280" s="30" t="n">
        <v>22.9096754759419</v>
      </c>
      <c r="N280" s="16" t="n">
        <v>9.40515091064073</v>
      </c>
      <c r="O280" s="16" t="n">
        <v>-7.50586264815323</v>
      </c>
      <c r="P280" s="16" t="n">
        <v>0</v>
      </c>
      <c r="Q280" s="16" t="n">
        <v>0.00149644031336461</v>
      </c>
      <c r="R280" s="16" t="n">
        <v>-7.73527067569085</v>
      </c>
      <c r="S280" s="16" t="n">
        <v>0</v>
      </c>
      <c r="T280" s="16" t="n">
        <v>1.67137667526324</v>
      </c>
      <c r="U280" s="16" t="n">
        <v>0</v>
      </c>
      <c r="V280" s="16" t="n">
        <v>0</v>
      </c>
      <c r="W280" s="16" t="n">
        <v>566.912488575875</v>
      </c>
      <c r="X280" s="16" t="n">
        <v>11.90625</v>
      </c>
      <c r="Y280" s="16" t="n">
        <v>0</v>
      </c>
      <c r="Z280" s="16" t="n">
        <v>0</v>
      </c>
      <c r="AA280" s="16" t="n">
        <v>0</v>
      </c>
      <c r="AB280" s="16" t="n">
        <v>0</v>
      </c>
      <c r="AC280" s="16" t="n">
        <v>566.912488575875</v>
      </c>
      <c r="AD280" s="16" t="n">
        <v>238.161944512217</v>
      </c>
      <c r="AE280" s="16" t="n">
        <v>0</v>
      </c>
      <c r="AF280" s="16" t="n">
        <v>0</v>
      </c>
      <c r="AG280" s="16" t="n">
        <v>238.161944512217</v>
      </c>
      <c r="AH280" s="16" t="n">
        <v>5.70705800859579</v>
      </c>
      <c r="AI280" s="16" t="n">
        <v>1.67137667526324</v>
      </c>
      <c r="AJ280" s="16" t="n">
        <v>0</v>
      </c>
      <c r="AK280" s="16" t="n">
        <v>0</v>
      </c>
      <c r="AL280" s="16" t="n">
        <v>0</v>
      </c>
      <c r="AM280" s="16" t="n">
        <v>4.03568133333255</v>
      </c>
      <c r="AN280" s="16" t="n">
        <v>867.693433088092</v>
      </c>
      <c r="AO280" s="16" t="n">
        <v>0</v>
      </c>
      <c r="AP280" s="16" t="n">
        <v>238.161944512217</v>
      </c>
      <c r="AQ280" s="14" t="n">
        <v>55.6380554877825</v>
      </c>
      <c r="AR280" s="14" t="s">
        <v>521</v>
      </c>
      <c r="AS280" s="29" t="n">
        <v>46327</v>
      </c>
      <c r="AT280" s="14" t="n">
        <v>130.3556483956</v>
      </c>
      <c r="AU280" s="17" t="n">
        <v>6.65635470167612</v>
      </c>
      <c r="AV280" s="17" t="n">
        <v>3.00347211195658</v>
      </c>
      <c r="AW280" s="16" t="n">
        <v>0</v>
      </c>
      <c r="AX280" s="14" t="s">
        <v>257</v>
      </c>
      <c r="AY280" s="14" t="s">
        <v>361</v>
      </c>
      <c r="AZ280" s="14" t="s">
        <v>461</v>
      </c>
      <c r="BA280" s="14" t="s">
        <v>259</v>
      </c>
      <c r="BB280" s="14" t="s">
        <v>572</v>
      </c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</row>
    <row r="281" customFormat="false" ht="15" hidden="false" customHeight="false" outlineLevel="0" collapsed="false">
      <c r="C281" s="14" t="s">
        <v>290</v>
      </c>
      <c r="D281" s="14" t="s">
        <v>291</v>
      </c>
      <c r="E281" s="14" t="s">
        <v>334</v>
      </c>
      <c r="F281" s="14" t="s">
        <v>335</v>
      </c>
      <c r="G281" s="29" t="n">
        <v>46784</v>
      </c>
      <c r="H281" s="29" t="n">
        <v>46873</v>
      </c>
      <c r="I281" s="14" t="s">
        <v>328</v>
      </c>
      <c r="J281" s="14" t="s">
        <v>255</v>
      </c>
      <c r="K281" s="14" t="n">
        <v>90</v>
      </c>
      <c r="L281" s="16" t="n">
        <v>398.150777198583</v>
      </c>
      <c r="M281" s="30" t="n">
        <v>28.8693217195837</v>
      </c>
      <c r="N281" s="16" t="n">
        <v>43.6581154980704</v>
      </c>
      <c r="O281" s="16" t="n">
        <v>-25.4689813068893</v>
      </c>
      <c r="P281" s="16" t="n">
        <v>-5.31135298700195</v>
      </c>
      <c r="Q281" s="16" t="n">
        <v>32.0373336585349</v>
      </c>
      <c r="R281" s="16" t="n">
        <v>-13.9352772019504</v>
      </c>
      <c r="S281" s="16" t="n">
        <v>0</v>
      </c>
      <c r="T281" s="16" t="n">
        <v>56.4488189676529</v>
      </c>
      <c r="U281" s="16" t="n">
        <v>0</v>
      </c>
      <c r="V281" s="16" t="n">
        <v>23.5874543997131</v>
      </c>
      <c r="W281" s="16" t="n">
        <v>566.912488575875</v>
      </c>
      <c r="X281" s="16" t="n">
        <v>11.90625</v>
      </c>
      <c r="Y281" s="16" t="n">
        <v>11.90625</v>
      </c>
      <c r="Z281" s="16" t="n">
        <v>0</v>
      </c>
      <c r="AA281" s="16" t="n">
        <v>0</v>
      </c>
      <c r="AB281" s="16" t="n">
        <v>0</v>
      </c>
      <c r="AC281" s="16" t="n">
        <v>555.006238575875</v>
      </c>
      <c r="AD281" s="16" t="n">
        <v>238.161944512217</v>
      </c>
      <c r="AE281" s="16" t="n">
        <v>0</v>
      </c>
      <c r="AF281" s="16" t="n">
        <v>0</v>
      </c>
      <c r="AG281" s="16" t="n">
        <v>238.161944512217</v>
      </c>
      <c r="AH281" s="16" t="n">
        <v>16.4031144364493</v>
      </c>
      <c r="AI281" s="16" t="n">
        <v>16.4031144364493</v>
      </c>
      <c r="AJ281" s="16" t="n">
        <v>1.30200013149053</v>
      </c>
      <c r="AK281" s="16" t="n">
        <v>2.41666666666667</v>
      </c>
      <c r="AL281" s="16" t="n">
        <v>0.833333333333333</v>
      </c>
      <c r="AM281" s="16" t="n">
        <v>0.405499868509466</v>
      </c>
      <c r="AN281" s="16" t="n">
        <v>855.787183088092</v>
      </c>
      <c r="AO281" s="16" t="n">
        <v>0</v>
      </c>
      <c r="AP281" s="16" t="n">
        <v>238.161944512217</v>
      </c>
      <c r="AQ281" s="14" t="n">
        <v>55.6380554877825</v>
      </c>
      <c r="AR281" s="14" t="s">
        <v>521</v>
      </c>
      <c r="AS281" s="29" t="n">
        <v>46327</v>
      </c>
      <c r="AT281" s="14" t="n">
        <v>134.727341995943</v>
      </c>
      <c r="AU281" s="17" t="n">
        <v>6.35199336979323</v>
      </c>
      <c r="AV281" s="17" t="n">
        <v>3.02714967781387</v>
      </c>
      <c r="AW281" s="16" t="n">
        <v>0</v>
      </c>
      <c r="AX281" s="14" t="s">
        <v>257</v>
      </c>
      <c r="AY281" s="14" t="s">
        <v>361</v>
      </c>
      <c r="AZ281" s="14" t="s">
        <v>455</v>
      </c>
      <c r="BA281" s="14" t="s">
        <v>259</v>
      </c>
      <c r="BB281" s="14" t="s">
        <v>573</v>
      </c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</row>
    <row r="282" customFormat="false" ht="15" hidden="false" customHeight="false" outlineLevel="0" collapsed="false">
      <c r="C282" s="14" t="s">
        <v>290</v>
      </c>
      <c r="D282" s="14" t="s">
        <v>291</v>
      </c>
      <c r="E282" s="14" t="s">
        <v>337</v>
      </c>
      <c r="F282" s="14" t="s">
        <v>335</v>
      </c>
      <c r="G282" s="29" t="n">
        <v>46874</v>
      </c>
      <c r="H282" s="29" t="n">
        <v>46965</v>
      </c>
      <c r="I282" s="14" t="s">
        <v>328</v>
      </c>
      <c r="J282" s="14" t="s">
        <v>271</v>
      </c>
      <c r="K282" s="14" t="n">
        <v>92</v>
      </c>
      <c r="L282" s="16" t="n">
        <v>450.664628462803</v>
      </c>
      <c r="M282" s="30" t="n">
        <v>27.6901735836919</v>
      </c>
      <c r="N282" s="16" t="n">
        <v>47.4823568705127</v>
      </c>
      <c r="O282" s="16" t="n">
        <v>-27.8778167751957</v>
      </c>
      <c r="P282" s="16" t="n">
        <v>-5.52838590127115</v>
      </c>
      <c r="Q282" s="16" t="n">
        <v>29.5553832872862</v>
      </c>
      <c r="R282" s="16" t="n">
        <v>-15.7732619961981</v>
      </c>
      <c r="S282" s="16" t="n">
        <v>0</v>
      </c>
      <c r="T282" s="16" t="n">
        <v>55.7360922603297</v>
      </c>
      <c r="U282" s="16" t="n">
        <v>23.5874543997131</v>
      </c>
      <c r="V282" s="16" t="n">
        <v>25</v>
      </c>
      <c r="W282" s="16" t="n">
        <v>555.006238575875</v>
      </c>
      <c r="X282" s="16" t="n">
        <v>11.90625</v>
      </c>
      <c r="Y282" s="16" t="n">
        <v>11.90625</v>
      </c>
      <c r="Z282" s="16" t="n">
        <v>0</v>
      </c>
      <c r="AA282" s="16" t="n">
        <v>0</v>
      </c>
      <c r="AB282" s="16" t="n">
        <v>0</v>
      </c>
      <c r="AC282" s="16" t="n">
        <v>543.099988575875</v>
      </c>
      <c r="AD282" s="16" t="n">
        <v>238.161944512217</v>
      </c>
      <c r="AE282" s="16" t="n">
        <v>0</v>
      </c>
      <c r="AF282" s="16" t="n">
        <v>20.5549130491864</v>
      </c>
      <c r="AG282" s="16" t="n">
        <v>217.607031463031</v>
      </c>
      <c r="AH282" s="16" t="n">
        <v>15.2798836108564</v>
      </c>
      <c r="AI282" s="16" t="n">
        <v>15.2798836108564</v>
      </c>
      <c r="AJ282" s="16" t="n">
        <v>1.7075</v>
      </c>
      <c r="AK282" s="16" t="n">
        <v>3.625</v>
      </c>
      <c r="AL282" s="16" t="n">
        <v>1.25</v>
      </c>
      <c r="AM282" s="16" t="n">
        <v>0</v>
      </c>
      <c r="AN282" s="16" t="n">
        <v>823.326020038906</v>
      </c>
      <c r="AO282" s="16" t="n">
        <v>0</v>
      </c>
      <c r="AP282" s="16" t="n">
        <v>238.161944512217</v>
      </c>
      <c r="AQ282" s="14" t="n">
        <v>76.1929685369689</v>
      </c>
      <c r="AR282" s="14" t="s">
        <v>521</v>
      </c>
      <c r="AS282" s="29" t="n">
        <v>46327</v>
      </c>
      <c r="AT282" s="14" t="n">
        <v>144.171353042936</v>
      </c>
      <c r="AU282" s="17" t="n">
        <v>5.71074629363927</v>
      </c>
      <c r="AV282" s="17" t="n">
        <v>3.06205839225413</v>
      </c>
      <c r="AW282" s="16" t="n">
        <v>0</v>
      </c>
      <c r="AX282" s="14" t="s">
        <v>257</v>
      </c>
      <c r="AY282" s="14" t="s">
        <v>257</v>
      </c>
      <c r="AZ282" s="14" t="s">
        <v>373</v>
      </c>
      <c r="BA282" s="14" t="s">
        <v>259</v>
      </c>
      <c r="BB282" s="14" t="s">
        <v>574</v>
      </c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</row>
    <row r="283" customFormat="false" ht="15" hidden="false" customHeight="false" outlineLevel="0" collapsed="false">
      <c r="C283" s="14" t="s">
        <v>290</v>
      </c>
      <c r="D283" s="14" t="s">
        <v>291</v>
      </c>
      <c r="E283" s="14" t="s">
        <v>339</v>
      </c>
      <c r="F283" s="14" t="s">
        <v>335</v>
      </c>
      <c r="G283" s="29" t="n">
        <v>46966</v>
      </c>
      <c r="H283" s="29" t="n">
        <v>47057</v>
      </c>
      <c r="I283" s="14" t="s">
        <v>328</v>
      </c>
      <c r="J283" s="14" t="s">
        <v>288</v>
      </c>
      <c r="K283" s="14" t="n">
        <v>92</v>
      </c>
      <c r="L283" s="16" t="n">
        <v>460.420706720346</v>
      </c>
      <c r="M283" s="30" t="n">
        <v>27.9159174302794</v>
      </c>
      <c r="N283" s="16" t="n">
        <v>53.0027911688484</v>
      </c>
      <c r="O283" s="16" t="n">
        <v>-27.5723430028742</v>
      </c>
      <c r="P283" s="16" t="n">
        <v>-6.77119718653666</v>
      </c>
      <c r="Q283" s="16" t="n">
        <v>28.3341955420845</v>
      </c>
      <c r="R283" s="16" t="n">
        <v>-16.1147247352121</v>
      </c>
      <c r="S283" s="16" t="n">
        <v>0</v>
      </c>
      <c r="T283" s="16" t="n">
        <v>58.4510647891841</v>
      </c>
      <c r="U283" s="16" t="n">
        <v>25</v>
      </c>
      <c r="V283" s="16" t="n">
        <v>25</v>
      </c>
      <c r="W283" s="16" t="n">
        <v>543.099988575875</v>
      </c>
      <c r="X283" s="16" t="n">
        <v>11.90625</v>
      </c>
      <c r="Y283" s="16" t="n">
        <v>11.90625</v>
      </c>
      <c r="Z283" s="16" t="n">
        <v>0</v>
      </c>
      <c r="AA283" s="16" t="n">
        <v>0</v>
      </c>
      <c r="AB283" s="16" t="n">
        <v>0</v>
      </c>
      <c r="AC283" s="16" t="n">
        <v>531.193738575875</v>
      </c>
      <c r="AD283" s="16" t="n">
        <v>217.607031463031</v>
      </c>
      <c r="AE283" s="16" t="n">
        <v>0</v>
      </c>
      <c r="AF283" s="16" t="n">
        <v>26.1044456012095</v>
      </c>
      <c r="AG283" s="16" t="n">
        <v>191.502585861822</v>
      </c>
      <c r="AH283" s="16" t="n">
        <v>13.8578691879747</v>
      </c>
      <c r="AI283" s="16" t="n">
        <v>13.8578691879747</v>
      </c>
      <c r="AJ283" s="16" t="n">
        <v>1.7075</v>
      </c>
      <c r="AK283" s="16" t="n">
        <v>3.625</v>
      </c>
      <c r="AL283" s="16" t="n">
        <v>1.25</v>
      </c>
      <c r="AM283" s="16" t="n">
        <v>0</v>
      </c>
      <c r="AN283" s="16" t="n">
        <v>785.315324437696</v>
      </c>
      <c r="AO283" s="16" t="n">
        <v>0</v>
      </c>
      <c r="AP283" s="16" t="n">
        <v>217.607031463031</v>
      </c>
      <c r="AQ283" s="14" t="n">
        <v>102.297414138178</v>
      </c>
      <c r="AR283" s="14" t="s">
        <v>521</v>
      </c>
      <c r="AS283" s="29" t="n">
        <v>46327</v>
      </c>
      <c r="AT283" s="14" t="n">
        <v>158.612726476879</v>
      </c>
      <c r="AU283" s="17" t="n">
        <v>4.951149519217</v>
      </c>
      <c r="AV283" s="17" t="n">
        <v>3.29672461121868</v>
      </c>
      <c r="AW283" s="16" t="n">
        <v>0</v>
      </c>
      <c r="AX283" s="14" t="s">
        <v>257</v>
      </c>
      <c r="AY283" s="14" t="s">
        <v>257</v>
      </c>
      <c r="AZ283" s="14" t="s">
        <v>373</v>
      </c>
      <c r="BA283" s="14" t="s">
        <v>259</v>
      </c>
      <c r="BB283" s="14" t="s">
        <v>575</v>
      </c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</row>
    <row r="284" customFormat="false" ht="15" hidden="false" customHeight="false" outlineLevel="0" collapsed="false">
      <c r="C284" s="14" t="s">
        <v>290</v>
      </c>
      <c r="D284" s="14" t="s">
        <v>291</v>
      </c>
      <c r="E284" s="14" t="s">
        <v>341</v>
      </c>
      <c r="F284" s="14" t="s">
        <v>335</v>
      </c>
      <c r="G284" s="29" t="n">
        <v>47058</v>
      </c>
      <c r="H284" s="29" t="n">
        <v>47149</v>
      </c>
      <c r="I284" s="14" t="s">
        <v>342</v>
      </c>
      <c r="J284" s="14" t="s">
        <v>303</v>
      </c>
      <c r="K284" s="14" t="n">
        <v>92</v>
      </c>
      <c r="L284" s="16" t="n">
        <v>388.003877187136</v>
      </c>
      <c r="M284" s="30" t="n">
        <v>22.9096754759419</v>
      </c>
      <c r="N284" s="16" t="n">
        <v>28.1519141588936</v>
      </c>
      <c r="O284" s="16" t="n">
        <v>-22.5170250047611</v>
      </c>
      <c r="P284" s="16" t="n">
        <v>-1.57759997606883</v>
      </c>
      <c r="Q284" s="16" t="n">
        <v>29.1491159280904</v>
      </c>
      <c r="R284" s="16" t="n">
        <v>-13.5801357015498</v>
      </c>
      <c r="S284" s="16" t="n">
        <v>0</v>
      </c>
      <c r="T284" s="16" t="n">
        <v>42.1432944093654</v>
      </c>
      <c r="U284" s="16" t="n">
        <v>25</v>
      </c>
      <c r="V284" s="16" t="n">
        <v>25</v>
      </c>
      <c r="W284" s="16" t="n">
        <v>531.193738575875</v>
      </c>
      <c r="X284" s="16" t="n">
        <v>11.90625</v>
      </c>
      <c r="Y284" s="16" t="n">
        <v>11.90625</v>
      </c>
      <c r="Z284" s="16" t="n">
        <v>0</v>
      </c>
      <c r="AA284" s="16" t="n">
        <v>0</v>
      </c>
      <c r="AB284" s="16" t="n">
        <v>0</v>
      </c>
      <c r="AC284" s="16" t="n">
        <v>519.287488575875</v>
      </c>
      <c r="AD284" s="16" t="n">
        <v>191.502585861822</v>
      </c>
      <c r="AE284" s="16" t="n">
        <v>0</v>
      </c>
      <c r="AF284" s="16" t="n">
        <v>11.2235113090457</v>
      </c>
      <c r="AG284" s="16" t="n">
        <v>180.279074552776</v>
      </c>
      <c r="AH284" s="16" t="n">
        <v>12.5140331003197</v>
      </c>
      <c r="AI284" s="16" t="n">
        <v>12.5140331003197</v>
      </c>
      <c r="AJ284" s="16" t="n">
        <v>1.6245</v>
      </c>
      <c r="AK284" s="16" t="n">
        <v>3.625</v>
      </c>
      <c r="AL284" s="16" t="n">
        <v>1.25</v>
      </c>
      <c r="AM284" s="16" t="n">
        <v>0</v>
      </c>
      <c r="AN284" s="16" t="n">
        <v>762.185563128651</v>
      </c>
      <c r="AO284" s="16" t="n">
        <v>0</v>
      </c>
      <c r="AP284" s="16" t="n">
        <v>191.502585861822</v>
      </c>
      <c r="AQ284" s="14" t="n">
        <v>113.520925447224</v>
      </c>
      <c r="AR284" s="14" t="s">
        <v>521</v>
      </c>
      <c r="AS284" s="29" t="n">
        <v>46327</v>
      </c>
      <c r="AT284" s="14" t="n">
        <v>172.295177696325</v>
      </c>
      <c r="AU284" s="17" t="n">
        <v>4.42371964972823</v>
      </c>
      <c r="AV284" s="17" t="n">
        <v>2.96779732116208</v>
      </c>
      <c r="AW284" s="16" t="n">
        <v>0</v>
      </c>
      <c r="AX284" s="14" t="s">
        <v>257</v>
      </c>
      <c r="AY284" s="14" t="s">
        <v>257</v>
      </c>
      <c r="AZ284" s="14" t="s">
        <v>373</v>
      </c>
      <c r="BA284" s="14" t="s">
        <v>259</v>
      </c>
      <c r="BB284" s="14" t="s">
        <v>576</v>
      </c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</row>
    <row r="285" customFormat="false" ht="15" hidden="false" customHeight="false" outlineLevel="0" collapsed="false">
      <c r="C285" s="14" t="s">
        <v>290</v>
      </c>
      <c r="D285" s="14" t="s">
        <v>291</v>
      </c>
      <c r="E285" s="14" t="s">
        <v>344</v>
      </c>
      <c r="F285" s="14" t="s">
        <v>335</v>
      </c>
      <c r="G285" s="29" t="n">
        <v>47150</v>
      </c>
      <c r="H285" s="29" t="n">
        <v>47238</v>
      </c>
      <c r="I285" s="14" t="s">
        <v>342</v>
      </c>
      <c r="J285" s="14" t="s">
        <v>255</v>
      </c>
      <c r="K285" s="14" t="n">
        <v>89</v>
      </c>
      <c r="L285" s="16" t="n">
        <v>452.432753896764</v>
      </c>
      <c r="M285" s="30" t="n">
        <v>28.8693217195837</v>
      </c>
      <c r="N285" s="16" t="n">
        <v>63.1832372137017</v>
      </c>
      <c r="O285" s="16" t="n">
        <v>-25.4683445823567</v>
      </c>
      <c r="P285" s="16" t="n">
        <v>-9.42872315783627</v>
      </c>
      <c r="Q285" s="16" t="n">
        <v>30.560044798288</v>
      </c>
      <c r="R285" s="16" t="n">
        <v>-15.8351463863867</v>
      </c>
      <c r="S285" s="16" t="n">
        <v>0</v>
      </c>
      <c r="T285" s="16" t="n">
        <v>68.4794124677668</v>
      </c>
      <c r="U285" s="16" t="n">
        <v>25</v>
      </c>
      <c r="V285" s="16" t="n">
        <v>25</v>
      </c>
      <c r="W285" s="16" t="n">
        <v>519.287488575875</v>
      </c>
      <c r="X285" s="16" t="n">
        <v>11.90625</v>
      </c>
      <c r="Y285" s="16" t="n">
        <v>11.90625</v>
      </c>
      <c r="Z285" s="16" t="n">
        <v>0</v>
      </c>
      <c r="AA285" s="16" t="n">
        <v>0</v>
      </c>
      <c r="AB285" s="16" t="n">
        <v>0</v>
      </c>
      <c r="AC285" s="16" t="n">
        <v>507.381238575875</v>
      </c>
      <c r="AD285" s="16" t="n">
        <v>180.279074552776</v>
      </c>
      <c r="AE285" s="16" t="n">
        <v>0</v>
      </c>
      <c r="AF285" s="16" t="n">
        <v>39.0003346932453</v>
      </c>
      <c r="AG285" s="16" t="n">
        <v>141.278739859531</v>
      </c>
      <c r="AH285" s="16" t="n">
        <v>11.0733277745215</v>
      </c>
      <c r="AI285" s="16" t="n">
        <v>11.0733277745215</v>
      </c>
      <c r="AJ285" s="16" t="n">
        <v>1.6245</v>
      </c>
      <c r="AK285" s="16" t="n">
        <v>3.625</v>
      </c>
      <c r="AL285" s="16" t="n">
        <v>1.25</v>
      </c>
      <c r="AM285" s="16" t="n">
        <v>0</v>
      </c>
      <c r="AN285" s="16" t="n">
        <v>711.278978435405</v>
      </c>
      <c r="AO285" s="16" t="n">
        <v>0</v>
      </c>
      <c r="AP285" s="16" t="n">
        <v>163.403032498195</v>
      </c>
      <c r="AQ285" s="14" t="n">
        <v>152.521260140469</v>
      </c>
      <c r="AR285" s="14" t="s">
        <v>521</v>
      </c>
      <c r="AS285" s="29" t="n">
        <v>46327</v>
      </c>
      <c r="AT285" s="14" t="n">
        <v>191.820299411956</v>
      </c>
      <c r="AU285" s="17" t="n">
        <v>3.70804852570817</v>
      </c>
      <c r="AV285" s="17" t="n">
        <v>3.63812016791801</v>
      </c>
      <c r="AW285" s="16" t="n">
        <v>0</v>
      </c>
      <c r="AX285" s="14" t="s">
        <v>257</v>
      </c>
      <c r="AY285" s="14" t="s">
        <v>257</v>
      </c>
      <c r="AZ285" s="14" t="s">
        <v>373</v>
      </c>
      <c r="BA285" s="14" t="s">
        <v>259</v>
      </c>
      <c r="BB285" s="14" t="s">
        <v>577</v>
      </c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</row>
    <row r="286" customFormat="false" ht="15" hidden="false" customHeight="false" outlineLevel="0" collapsed="false">
      <c r="C286" s="14" t="s">
        <v>290</v>
      </c>
      <c r="D286" s="14" t="s">
        <v>291</v>
      </c>
      <c r="E286" s="14" t="s">
        <v>346</v>
      </c>
      <c r="F286" s="14" t="s">
        <v>335</v>
      </c>
      <c r="G286" s="29" t="n">
        <v>47239</v>
      </c>
      <c r="H286" s="29" t="n">
        <v>47330</v>
      </c>
      <c r="I286" s="14" t="s">
        <v>342</v>
      </c>
      <c r="J286" s="14" t="s">
        <v>271</v>
      </c>
      <c r="K286" s="14" t="n">
        <v>92</v>
      </c>
      <c r="L286" s="16" t="n">
        <v>495.223474557243</v>
      </c>
      <c r="M286" s="30" t="n">
        <v>27.6901735836919</v>
      </c>
      <c r="N286" s="16" t="n">
        <v>63.3196378606049</v>
      </c>
      <c r="O286" s="16" t="n">
        <v>-27.8771198297763</v>
      </c>
      <c r="P286" s="16" t="n">
        <v>-8.86062950770715</v>
      </c>
      <c r="Q286" s="16" t="n">
        <v>-5.56236379791506</v>
      </c>
      <c r="R286" s="16" t="n">
        <v>-17.3328216095035</v>
      </c>
      <c r="S286" s="16" t="n">
        <v>0</v>
      </c>
      <c r="T286" s="16" t="n">
        <v>31.5638229454792</v>
      </c>
      <c r="U286" s="16" t="n">
        <v>25</v>
      </c>
      <c r="V286" s="16" t="n">
        <v>17.9825902491092</v>
      </c>
      <c r="W286" s="16" t="n">
        <v>507.381238575875</v>
      </c>
      <c r="X286" s="16" t="n">
        <v>11.90625</v>
      </c>
      <c r="Y286" s="16" t="n">
        <v>11.90625</v>
      </c>
      <c r="Z286" s="16" t="n">
        <v>0</v>
      </c>
      <c r="AA286" s="16" t="n">
        <v>0</v>
      </c>
      <c r="AB286" s="16" t="n">
        <v>0</v>
      </c>
      <c r="AC286" s="16" t="n">
        <v>495.474988575875</v>
      </c>
      <c r="AD286" s="16" t="n">
        <v>141.278739859531</v>
      </c>
      <c r="AE286" s="16" t="n">
        <v>0</v>
      </c>
      <c r="AF286" s="16" t="n">
        <v>9.65953543530563</v>
      </c>
      <c r="AG286" s="16" t="n">
        <v>131.619204424225</v>
      </c>
      <c r="AH286" s="16" t="n">
        <v>10.5159472610644</v>
      </c>
      <c r="AI286" s="16" t="n">
        <v>10.5159472610644</v>
      </c>
      <c r="AJ286" s="16" t="n">
        <v>1.6245</v>
      </c>
      <c r="AK286" s="16" t="n">
        <v>3.625</v>
      </c>
      <c r="AL286" s="16" t="n">
        <v>1.25</v>
      </c>
      <c r="AM286" s="16" t="n">
        <v>0</v>
      </c>
      <c r="AN286" s="16" t="n">
        <v>689.7131930001</v>
      </c>
      <c r="AO286" s="16" t="n">
        <v>0</v>
      </c>
      <c r="AP286" s="16" t="n">
        <v>136.462193631005</v>
      </c>
      <c r="AQ286" s="14" t="n">
        <v>162.180795575775</v>
      </c>
      <c r="AR286" s="14" t="s">
        <v>521</v>
      </c>
      <c r="AS286" s="29" t="n">
        <v>46327</v>
      </c>
      <c r="AT286" s="14" t="n">
        <v>207.657580402049</v>
      </c>
      <c r="AU286" s="17" t="n">
        <v>3.32139665532429</v>
      </c>
      <c r="AV286" s="17" t="n">
        <v>4.32970147917229</v>
      </c>
      <c r="AW286" s="16" t="n">
        <v>0</v>
      </c>
      <c r="AX286" s="14" t="s">
        <v>257</v>
      </c>
      <c r="AY286" s="14" t="s">
        <v>257</v>
      </c>
      <c r="AZ286" s="14" t="s">
        <v>455</v>
      </c>
      <c r="BA286" s="14" t="s">
        <v>259</v>
      </c>
      <c r="BB286" s="14" t="s">
        <v>578</v>
      </c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</row>
    <row r="287" customFormat="false" ht="15" hidden="false" customHeight="false" outlineLevel="0" collapsed="false">
      <c r="C287" s="14" t="s">
        <v>290</v>
      </c>
      <c r="D287" s="14" t="s">
        <v>291</v>
      </c>
      <c r="E287" s="14" t="s">
        <v>348</v>
      </c>
      <c r="F287" s="14" t="s">
        <v>335</v>
      </c>
      <c r="G287" s="29" t="n">
        <v>47331</v>
      </c>
      <c r="H287" s="29" t="n">
        <v>47422</v>
      </c>
      <c r="I287" s="14" t="s">
        <v>342</v>
      </c>
      <c r="J287" s="14" t="s">
        <v>288</v>
      </c>
      <c r="K287" s="14" t="n">
        <v>92</v>
      </c>
      <c r="L287" s="16" t="n">
        <v>489.797017236892</v>
      </c>
      <c r="M287" s="30" t="n">
        <v>27.9159174302794</v>
      </c>
      <c r="N287" s="16" t="n">
        <v>63.7314936618185</v>
      </c>
      <c r="O287" s="16" t="n">
        <v>-27.5716536942991</v>
      </c>
      <c r="P287" s="16" t="n">
        <v>-9.03995999187983</v>
      </c>
      <c r="Q287" s="16" t="n">
        <v>-3.63818299158489</v>
      </c>
      <c r="R287" s="16" t="n">
        <v>-17.1428956032912</v>
      </c>
      <c r="S287" s="16" t="n">
        <v>0</v>
      </c>
      <c r="T287" s="16" t="n">
        <v>33.9104550750625</v>
      </c>
      <c r="U287" s="16" t="n">
        <v>17.9825902491092</v>
      </c>
      <c r="V287" s="16" t="n">
        <v>18.854088239909</v>
      </c>
      <c r="W287" s="16" t="n">
        <v>495.474988575875</v>
      </c>
      <c r="X287" s="16" t="n">
        <v>11.90625</v>
      </c>
      <c r="Y287" s="16" t="n">
        <v>11.90625</v>
      </c>
      <c r="Z287" s="16" t="n">
        <v>0</v>
      </c>
      <c r="AA287" s="16" t="n">
        <v>0</v>
      </c>
      <c r="AB287" s="16" t="n">
        <v>0</v>
      </c>
      <c r="AC287" s="16" t="n">
        <v>483.568738575875</v>
      </c>
      <c r="AD287" s="16" t="n">
        <v>131.619204424225</v>
      </c>
      <c r="AE287" s="16" t="n">
        <v>0</v>
      </c>
      <c r="AF287" s="16" t="n">
        <v>4.40192916689347</v>
      </c>
      <c r="AG287" s="16" t="n">
        <v>127.217275257332</v>
      </c>
      <c r="AH287" s="16" t="n">
        <v>10.2312779173692</v>
      </c>
      <c r="AI287" s="16" t="n">
        <v>10.2312779173692</v>
      </c>
      <c r="AJ287" s="16" t="n">
        <v>1.6245</v>
      </c>
      <c r="AK287" s="16" t="n">
        <v>3.625</v>
      </c>
      <c r="AL287" s="16" t="n">
        <v>1.25</v>
      </c>
      <c r="AM287" s="16" t="n">
        <v>0</v>
      </c>
      <c r="AN287" s="16" t="n">
        <v>673.405013833206</v>
      </c>
      <c r="AO287" s="16" t="n">
        <v>0</v>
      </c>
      <c r="AP287" s="16" t="n">
        <v>131.619204424225</v>
      </c>
      <c r="AQ287" s="14" t="n">
        <v>166.582724742668</v>
      </c>
      <c r="AR287" s="14" t="s">
        <v>521</v>
      </c>
      <c r="AS287" s="29" t="n">
        <v>46327</v>
      </c>
      <c r="AT287" s="14" t="n">
        <v>218.386282895019</v>
      </c>
      <c r="AU287" s="17" t="n">
        <v>3.08354995976062</v>
      </c>
      <c r="AV287" s="17" t="n">
        <v>4.92586719164569</v>
      </c>
      <c r="AW287" s="16" t="n">
        <v>0</v>
      </c>
      <c r="AX287" s="14" t="s">
        <v>257</v>
      </c>
      <c r="AY287" s="14" t="s">
        <v>257</v>
      </c>
      <c r="AZ287" s="14" t="s">
        <v>455</v>
      </c>
      <c r="BA287" s="14" t="s">
        <v>259</v>
      </c>
      <c r="BB287" s="14" t="s">
        <v>579</v>
      </c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</row>
    <row r="288" customFormat="false" ht="15" hidden="false" customHeight="false" outlineLevel="0" collapsed="false">
      <c r="C288" s="14" t="s">
        <v>290</v>
      </c>
      <c r="D288" s="14" t="s">
        <v>291</v>
      </c>
      <c r="E288" s="14" t="s">
        <v>350</v>
      </c>
      <c r="F288" s="14" t="s">
        <v>335</v>
      </c>
      <c r="G288" s="29" t="n">
        <v>47423</v>
      </c>
      <c r="H288" s="29" t="n">
        <v>47514</v>
      </c>
      <c r="I288" s="14" t="s">
        <v>351</v>
      </c>
      <c r="J288" s="14" t="s">
        <v>303</v>
      </c>
      <c r="K288" s="14" t="n">
        <v>92</v>
      </c>
      <c r="L288" s="16" t="n">
        <v>399.993997000213</v>
      </c>
      <c r="M288" s="30" t="n">
        <v>22.9096754759419</v>
      </c>
      <c r="N288" s="16" t="n">
        <v>32.0218213290888</v>
      </c>
      <c r="O288" s="16" t="n">
        <v>-22.516462079136</v>
      </c>
      <c r="P288" s="16" t="n">
        <v>-2.37633981248821</v>
      </c>
      <c r="Q288" s="16" t="n">
        <v>-1.53612114393274</v>
      </c>
      <c r="R288" s="16" t="n">
        <v>-13.9997898950074</v>
      </c>
      <c r="S288" s="16" t="n">
        <v>0</v>
      </c>
      <c r="T288" s="16" t="n">
        <v>14.1095704776604</v>
      </c>
      <c r="U288" s="16" t="n">
        <v>18.854088239909</v>
      </c>
      <c r="V288" s="16" t="n">
        <v>4.64634179973404</v>
      </c>
      <c r="W288" s="16" t="n">
        <v>483.568738575875</v>
      </c>
      <c r="X288" s="16" t="n">
        <v>11.90625</v>
      </c>
      <c r="Y288" s="16" t="n">
        <v>11.90625</v>
      </c>
      <c r="Z288" s="16" t="n">
        <v>0</v>
      </c>
      <c r="AA288" s="16" t="n">
        <v>0</v>
      </c>
      <c r="AB288" s="16" t="n">
        <v>0</v>
      </c>
      <c r="AC288" s="16" t="n">
        <v>471.662488575875</v>
      </c>
      <c r="AD288" s="16" t="n">
        <v>127.217275257332</v>
      </c>
      <c r="AE288" s="16" t="n">
        <v>0</v>
      </c>
      <c r="AF288" s="16" t="n">
        <v>0</v>
      </c>
      <c r="AG288" s="16" t="n">
        <v>127.217275257332</v>
      </c>
      <c r="AH288" s="16" t="n">
        <v>9.99956691783541</v>
      </c>
      <c r="AI288" s="16" t="n">
        <v>9.99956691783541</v>
      </c>
      <c r="AJ288" s="16" t="n">
        <v>1.5365</v>
      </c>
      <c r="AK288" s="16" t="n">
        <v>3.625</v>
      </c>
      <c r="AL288" s="16" t="n">
        <v>1.25</v>
      </c>
      <c r="AM288" s="16" t="n">
        <v>0</v>
      </c>
      <c r="AN288" s="16" t="n">
        <v>661.498763833206</v>
      </c>
      <c r="AO288" s="16" t="n">
        <v>0</v>
      </c>
      <c r="AP288" s="16" t="n">
        <v>127.217275257332</v>
      </c>
      <c r="AQ288" s="14" t="n">
        <v>166.582724742668</v>
      </c>
      <c r="AR288" s="14" t="s">
        <v>521</v>
      </c>
      <c r="AS288" s="29" t="n">
        <v>46327</v>
      </c>
      <c r="AT288" s="14" t="n">
        <v>222.256190065214</v>
      </c>
      <c r="AU288" s="17" t="n">
        <v>2.97628949564514</v>
      </c>
      <c r="AV288" s="17" t="n">
        <v>5.31457563373581</v>
      </c>
      <c r="AW288" s="16" t="n">
        <v>0</v>
      </c>
      <c r="AX288" s="14" t="s">
        <v>257</v>
      </c>
      <c r="AY288" s="14" t="s">
        <v>257</v>
      </c>
      <c r="AZ288" s="14" t="s">
        <v>455</v>
      </c>
      <c r="BA288" s="14" t="s">
        <v>259</v>
      </c>
      <c r="BB288" s="14" t="s">
        <v>580</v>
      </c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</row>
    <row r="289" customFormat="false" ht="15" hidden="false" customHeight="false" outlineLevel="0" collapsed="false">
      <c r="C289" s="14" t="s">
        <v>290</v>
      </c>
      <c r="D289" s="14" t="s">
        <v>291</v>
      </c>
      <c r="E289" s="14" t="s">
        <v>353</v>
      </c>
      <c r="F289" s="14" t="s">
        <v>335</v>
      </c>
      <c r="G289" s="29" t="n">
        <v>47515</v>
      </c>
      <c r="H289" s="29" t="n">
        <v>47603</v>
      </c>
      <c r="I289" s="14" t="s">
        <v>351</v>
      </c>
      <c r="J289" s="14" t="s">
        <v>255</v>
      </c>
      <c r="K289" s="14" t="n">
        <v>89</v>
      </c>
      <c r="L289" s="16" t="n">
        <v>452.421443077917</v>
      </c>
      <c r="M289" s="30" t="n">
        <v>28.8693217195837</v>
      </c>
      <c r="N289" s="16" t="n">
        <v>63.1816576327714</v>
      </c>
      <c r="O289" s="16" t="n">
        <v>-25.4677078737421</v>
      </c>
      <c r="P289" s="16" t="n">
        <v>-9.42848743975732</v>
      </c>
      <c r="Q289" s="16" t="n">
        <v>0.00165728527647751</v>
      </c>
      <c r="R289" s="16" t="n">
        <v>-15.8347505077271</v>
      </c>
      <c r="S289" s="16" t="n">
        <v>0</v>
      </c>
      <c r="T289" s="16" t="n">
        <v>37.9200769705635</v>
      </c>
      <c r="U289" s="16" t="n">
        <v>4.64634179973404</v>
      </c>
      <c r="V289" s="16" t="n">
        <v>14.4446620087121</v>
      </c>
      <c r="W289" s="16" t="n">
        <v>471.662488575875</v>
      </c>
      <c r="X289" s="16" t="n">
        <v>11.90625</v>
      </c>
      <c r="Y289" s="16" t="n">
        <v>11.90625</v>
      </c>
      <c r="Z289" s="16" t="n">
        <v>0</v>
      </c>
      <c r="AA289" s="16" t="n">
        <v>0</v>
      </c>
      <c r="AB289" s="16" t="n">
        <v>0</v>
      </c>
      <c r="AC289" s="16" t="n">
        <v>459.756238575875</v>
      </c>
      <c r="AD289" s="16" t="n">
        <v>127.217275257332</v>
      </c>
      <c r="AE289" s="16" t="n">
        <v>0</v>
      </c>
      <c r="AF289" s="16" t="n">
        <v>0</v>
      </c>
      <c r="AG289" s="16" t="n">
        <v>127.217275257332</v>
      </c>
      <c r="AH289" s="16" t="n">
        <v>9.80400676158541</v>
      </c>
      <c r="AI289" s="16" t="n">
        <v>9.80400676158541</v>
      </c>
      <c r="AJ289" s="16" t="n">
        <v>1.5365</v>
      </c>
      <c r="AK289" s="16" t="n">
        <v>3.625</v>
      </c>
      <c r="AL289" s="16" t="n">
        <v>1.25</v>
      </c>
      <c r="AM289" s="16" t="n">
        <v>0</v>
      </c>
      <c r="AN289" s="16" t="n">
        <v>649.592513833206</v>
      </c>
      <c r="AO289" s="16" t="n">
        <v>0</v>
      </c>
      <c r="AP289" s="16" t="n">
        <v>127.217275257332</v>
      </c>
      <c r="AQ289" s="14" t="n">
        <v>166.582724742668</v>
      </c>
      <c r="AR289" s="14" t="s">
        <v>521</v>
      </c>
      <c r="AS289" s="29" t="n">
        <v>46327</v>
      </c>
      <c r="AT289" s="14" t="n">
        <v>222.254610484284</v>
      </c>
      <c r="AU289" s="17" t="n">
        <v>2.92274033109041</v>
      </c>
      <c r="AV289" s="17" t="n">
        <v>5.48089351490629</v>
      </c>
      <c r="AW289" s="16" t="n">
        <v>0</v>
      </c>
      <c r="AX289" s="14" t="s">
        <v>257</v>
      </c>
      <c r="AY289" s="14" t="s">
        <v>257</v>
      </c>
      <c r="AZ289" s="14" t="s">
        <v>455</v>
      </c>
      <c r="BA289" s="14" t="s">
        <v>259</v>
      </c>
      <c r="BB289" s="14" t="s">
        <v>581</v>
      </c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</row>
    <row r="290" customFormat="false" ht="15" hidden="false" customHeight="false" outlineLevel="0" collapsed="false">
      <c r="C290" s="14" t="s">
        <v>290</v>
      </c>
      <c r="D290" s="14" t="s">
        <v>291</v>
      </c>
      <c r="E290" s="14" t="s">
        <v>355</v>
      </c>
      <c r="F290" s="14" t="s">
        <v>335</v>
      </c>
      <c r="G290" s="29" t="n">
        <v>47604</v>
      </c>
      <c r="H290" s="29" t="n">
        <v>47695</v>
      </c>
      <c r="I290" s="14" t="s">
        <v>351</v>
      </c>
      <c r="J290" s="14" t="s">
        <v>271</v>
      </c>
      <c r="K290" s="14" t="n">
        <v>92</v>
      </c>
      <c r="L290" s="16" t="n">
        <v>495.211093970379</v>
      </c>
      <c r="M290" s="30" t="n">
        <v>27.6901735836919</v>
      </c>
      <c r="N290" s="16" t="n">
        <v>63.3180548696584</v>
      </c>
      <c r="O290" s="16" t="n">
        <v>-27.8764229017806</v>
      </c>
      <c r="P290" s="16" t="n">
        <v>-8.86040799196946</v>
      </c>
      <c r="Q290" s="16" t="n">
        <v>0.00182870502781671</v>
      </c>
      <c r="R290" s="16" t="n">
        <v>-17.3323882889633</v>
      </c>
      <c r="S290" s="16" t="n">
        <v>0</v>
      </c>
      <c r="T290" s="16" t="n">
        <v>37.1270872937535</v>
      </c>
      <c r="U290" s="16" t="n">
        <v>14.4446620087121</v>
      </c>
      <c r="V290" s="16" t="n">
        <v>20.1703766078848</v>
      </c>
      <c r="W290" s="16" t="n">
        <v>459.756238575875</v>
      </c>
      <c r="X290" s="16" t="n">
        <v>11.90625</v>
      </c>
      <c r="Y290" s="16" t="n">
        <v>11.90625</v>
      </c>
      <c r="Z290" s="16" t="n">
        <v>0</v>
      </c>
      <c r="AA290" s="16" t="n">
        <v>0</v>
      </c>
      <c r="AB290" s="16" t="n">
        <v>0</v>
      </c>
      <c r="AC290" s="16" t="n">
        <v>447.849988575875</v>
      </c>
      <c r="AD290" s="16" t="n">
        <v>127.217275257332</v>
      </c>
      <c r="AE290" s="16" t="n">
        <v>0</v>
      </c>
      <c r="AF290" s="16" t="n">
        <v>3.50395229748798</v>
      </c>
      <c r="AG290" s="16" t="n">
        <v>123.713322959844</v>
      </c>
      <c r="AH290" s="16" t="n">
        <v>9.57967039709283</v>
      </c>
      <c r="AI290" s="16" t="n">
        <v>9.57967039709283</v>
      </c>
      <c r="AJ290" s="16" t="n">
        <v>1.5365</v>
      </c>
      <c r="AK290" s="16" t="n">
        <v>3.625</v>
      </c>
      <c r="AL290" s="16" t="n">
        <v>1.25</v>
      </c>
      <c r="AM290" s="16" t="n">
        <v>0</v>
      </c>
      <c r="AN290" s="16" t="n">
        <v>634.182311535718</v>
      </c>
      <c r="AO290" s="16" t="n">
        <v>0</v>
      </c>
      <c r="AP290" s="16" t="n">
        <v>127.217275257332</v>
      </c>
      <c r="AQ290" s="14" t="n">
        <v>170.086677040156</v>
      </c>
      <c r="AR290" s="14" t="s">
        <v>521</v>
      </c>
      <c r="AS290" s="29" t="n">
        <v>46327</v>
      </c>
      <c r="AT290" s="14" t="n">
        <v>222.253027493337</v>
      </c>
      <c r="AU290" s="17" t="n">
        <v>2.8534248495433</v>
      </c>
      <c r="AV290" s="17" t="n">
        <v>5.61039276272617</v>
      </c>
      <c r="AW290" s="16" t="n">
        <v>0</v>
      </c>
      <c r="AX290" s="14" t="s">
        <v>257</v>
      </c>
      <c r="AY290" s="14" t="s">
        <v>257</v>
      </c>
      <c r="AZ290" s="14" t="s">
        <v>455</v>
      </c>
      <c r="BA290" s="14" t="s">
        <v>259</v>
      </c>
      <c r="BB290" s="14" t="s">
        <v>582</v>
      </c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</row>
    <row r="291" customFormat="false" ht="15" hidden="false" customHeight="false" outlineLevel="0" collapsed="false">
      <c r="C291" s="14" t="s">
        <v>290</v>
      </c>
      <c r="D291" s="14" t="s">
        <v>291</v>
      </c>
      <c r="E291" s="14" t="s">
        <v>357</v>
      </c>
      <c r="F291" s="14" t="s">
        <v>335</v>
      </c>
      <c r="G291" s="29" t="n">
        <v>47696</v>
      </c>
      <c r="H291" s="29" t="n">
        <v>47787</v>
      </c>
      <c r="I291" s="14" t="s">
        <v>351</v>
      </c>
      <c r="J291" s="14" t="s">
        <v>288</v>
      </c>
      <c r="K291" s="14" t="n">
        <v>92</v>
      </c>
      <c r="L291" s="16" t="n">
        <v>489.784772311461</v>
      </c>
      <c r="M291" s="30" t="n">
        <v>27.9159174302794</v>
      </c>
      <c r="N291" s="16" t="n">
        <v>63.7299003744769</v>
      </c>
      <c r="O291" s="16" t="n">
        <v>-27.5709644029568</v>
      </c>
      <c r="P291" s="16" t="n">
        <v>-9.03973399288004</v>
      </c>
      <c r="Q291" s="16" t="n">
        <v>0.00180588811739999</v>
      </c>
      <c r="R291" s="16" t="n">
        <v>-17.1424670309011</v>
      </c>
      <c r="S291" s="16" t="n">
        <v>0</v>
      </c>
      <c r="T291" s="16" t="n">
        <v>37.5495052388131</v>
      </c>
      <c r="U291" s="16" t="n">
        <v>20.1703766078848</v>
      </c>
      <c r="V291" s="16" t="n">
        <v>20.4295331927628</v>
      </c>
      <c r="W291" s="16" t="n">
        <v>447.849988575875</v>
      </c>
      <c r="X291" s="16" t="n">
        <v>11.90625</v>
      </c>
      <c r="Y291" s="16" t="n">
        <v>11.90625</v>
      </c>
      <c r="Z291" s="16" t="n">
        <v>0</v>
      </c>
      <c r="AA291" s="16" t="n">
        <v>0</v>
      </c>
      <c r="AB291" s="16" t="n">
        <v>0</v>
      </c>
      <c r="AC291" s="16" t="n">
        <v>435.943738575875</v>
      </c>
      <c r="AD291" s="16" t="n">
        <v>123.713322959844</v>
      </c>
      <c r="AE291" s="16" t="n">
        <v>0</v>
      </c>
      <c r="AF291" s="16" t="n">
        <v>9.71029852811462</v>
      </c>
      <c r="AG291" s="16" t="n">
        <v>114.003024431729</v>
      </c>
      <c r="AH291" s="16" t="n">
        <v>9.26230012582055</v>
      </c>
      <c r="AI291" s="16" t="n">
        <v>9.26230012582055</v>
      </c>
      <c r="AJ291" s="16" t="n">
        <v>1.5365</v>
      </c>
      <c r="AK291" s="16" t="n">
        <v>3.625</v>
      </c>
      <c r="AL291" s="16" t="n">
        <v>1.25</v>
      </c>
      <c r="AM291" s="16" t="n">
        <v>0</v>
      </c>
      <c r="AN291" s="16" t="n">
        <v>612.565763007604</v>
      </c>
      <c r="AO291" s="16" t="n">
        <v>0</v>
      </c>
      <c r="AP291" s="16" t="n">
        <v>121.286276362954</v>
      </c>
      <c r="AQ291" s="14" t="n">
        <v>179.796975568271</v>
      </c>
      <c r="AR291" s="14" t="s">
        <v>521</v>
      </c>
      <c r="AS291" s="29" t="n">
        <v>46327</v>
      </c>
      <c r="AT291" s="14" t="n">
        <v>222.251434205996</v>
      </c>
      <c r="AU291" s="17" t="n">
        <v>2.75618362237358</v>
      </c>
      <c r="AV291" s="17" t="n">
        <v>5.75102353436574</v>
      </c>
      <c r="AW291" s="16" t="n">
        <v>0</v>
      </c>
      <c r="AX291" s="14" t="s">
        <v>257</v>
      </c>
      <c r="AY291" s="14" t="s">
        <v>257</v>
      </c>
      <c r="AZ291" s="14" t="s">
        <v>455</v>
      </c>
      <c r="BA291" s="14" t="s">
        <v>259</v>
      </c>
      <c r="BB291" s="14" t="s">
        <v>583</v>
      </c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</row>
    <row r="292" customFormat="false" ht="15" hidden="false" customHeight="false" outlineLevel="0" collapsed="false">
      <c r="C292" s="14" t="s">
        <v>290</v>
      </c>
      <c r="D292" s="14" t="s">
        <v>291</v>
      </c>
      <c r="E292" s="14" t="s">
        <v>359</v>
      </c>
      <c r="F292" s="14" t="s">
        <v>335</v>
      </c>
      <c r="G292" s="29" t="n">
        <v>47788</v>
      </c>
      <c r="H292" s="29" t="n">
        <v>47879</v>
      </c>
      <c r="I292" s="14" t="s">
        <v>360</v>
      </c>
      <c r="J292" s="14" t="s">
        <v>303</v>
      </c>
      <c r="K292" s="14" t="n">
        <v>92</v>
      </c>
      <c r="L292" s="16" t="n">
        <v>399.983997150288</v>
      </c>
      <c r="M292" s="30" t="n">
        <v>22.9096754759419</v>
      </c>
      <c r="N292" s="16" t="n">
        <v>32.0210207835556</v>
      </c>
      <c r="O292" s="16" t="n">
        <v>-22.515899167584</v>
      </c>
      <c r="P292" s="16" t="n">
        <v>-2.3762804039929</v>
      </c>
      <c r="Q292" s="16" t="n">
        <v>0.00152510724725765</v>
      </c>
      <c r="R292" s="16" t="n">
        <v>-13.9994399002601</v>
      </c>
      <c r="S292" s="16" t="n">
        <v>0</v>
      </c>
      <c r="T292" s="16" t="n">
        <v>15.6468255865499</v>
      </c>
      <c r="U292" s="16" t="n">
        <v>20.4295331927628</v>
      </c>
      <c r="V292" s="16" t="n">
        <v>8.75832655628774</v>
      </c>
      <c r="W292" s="16" t="n">
        <v>435.943738575875</v>
      </c>
      <c r="X292" s="16" t="n">
        <v>11.90625</v>
      </c>
      <c r="Y292" s="16" t="n">
        <v>11.90625</v>
      </c>
      <c r="Z292" s="16" t="n">
        <v>0</v>
      </c>
      <c r="AA292" s="16" t="n">
        <v>538.040513007604</v>
      </c>
      <c r="AB292" s="16" t="n">
        <v>0</v>
      </c>
      <c r="AC292" s="16" t="n">
        <v>424.037488575875</v>
      </c>
      <c r="AD292" s="16" t="n">
        <v>114.003024431729</v>
      </c>
      <c r="AE292" s="16" t="n">
        <v>0</v>
      </c>
      <c r="AF292" s="16" t="n">
        <v>0</v>
      </c>
      <c r="AG292" s="16" t="n">
        <v>114.003024431729</v>
      </c>
      <c r="AH292" s="16" t="n">
        <v>9.00028222302489</v>
      </c>
      <c r="AI292" s="16" t="n">
        <v>9.00028222302489</v>
      </c>
      <c r="AJ292" s="16" t="n">
        <v>1.5365</v>
      </c>
      <c r="AK292" s="16" t="n">
        <v>3.625</v>
      </c>
      <c r="AL292" s="16" t="n">
        <v>1.25</v>
      </c>
      <c r="AM292" s="16" t="n">
        <v>0</v>
      </c>
      <c r="AN292" s="16" t="n">
        <v>600.659513007604</v>
      </c>
      <c r="AO292" s="16" t="n">
        <v>0</v>
      </c>
      <c r="AP292" s="16" t="n">
        <v>114.003024431729</v>
      </c>
      <c r="AQ292" s="14" t="n">
        <v>0</v>
      </c>
      <c r="AR292" s="14" t="s">
        <v>521</v>
      </c>
      <c r="AS292" s="29" t="n">
        <v>46327</v>
      </c>
      <c r="AT292" s="14" t="n">
        <v>222.250633660462</v>
      </c>
      <c r="AU292" s="17" t="n">
        <v>2.70262227429797</v>
      </c>
      <c r="AV292" s="17" t="n">
        <v>5.90365780207314</v>
      </c>
      <c r="AW292" s="16" t="n">
        <v>538.040513007604</v>
      </c>
      <c r="AX292" s="14" t="s">
        <v>361</v>
      </c>
      <c r="AY292" s="14" t="s">
        <v>257</v>
      </c>
      <c r="AZ292" s="14" t="s">
        <v>455</v>
      </c>
      <c r="BA292" s="14" t="s">
        <v>259</v>
      </c>
      <c r="BB292" s="14" t="s">
        <v>584</v>
      </c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</row>
    <row r="293" customFormat="false" ht="15" hidden="false" customHeight="false" outlineLevel="0" collapsed="false">
      <c r="C293" s="14" t="s">
        <v>295</v>
      </c>
      <c r="D293" s="14" t="s">
        <v>296</v>
      </c>
      <c r="E293" s="14" t="s">
        <v>252</v>
      </c>
      <c r="F293" s="14" t="s">
        <v>253</v>
      </c>
      <c r="G293" s="29" t="n">
        <v>46054</v>
      </c>
      <c r="H293" s="29" t="n">
        <v>46081</v>
      </c>
      <c r="I293" s="14" t="s">
        <v>254</v>
      </c>
      <c r="J293" s="14" t="s">
        <v>255</v>
      </c>
      <c r="K293" s="14" t="n">
        <v>28</v>
      </c>
      <c r="L293" s="16" t="n">
        <v>84.61127066535</v>
      </c>
      <c r="M293" s="30" t="n">
        <v>28.8693217195837</v>
      </c>
      <c r="N293" s="16" t="n">
        <v>10.1239261348662</v>
      </c>
      <c r="O293" s="16" t="n">
        <v>-8.4900849345702</v>
      </c>
      <c r="P293" s="16" t="n">
        <v>-1.34024712164309</v>
      </c>
      <c r="Q293" s="16" t="n">
        <v>-14.6858737706374</v>
      </c>
      <c r="R293" s="16" t="n">
        <v>-2.96139447328725</v>
      </c>
      <c r="S293" s="16" t="n">
        <v>-0.44</v>
      </c>
      <c r="T293" s="16" t="n">
        <v>-9.30358923070151</v>
      </c>
      <c r="U293" s="16" t="n">
        <v>25</v>
      </c>
      <c r="V293" s="16" t="n">
        <v>25</v>
      </c>
      <c r="W293" s="16" t="n">
        <v>635</v>
      </c>
      <c r="X293" s="16" t="n">
        <v>0</v>
      </c>
      <c r="Y293" s="16" t="n">
        <v>0</v>
      </c>
      <c r="Z293" s="16" t="n">
        <v>0</v>
      </c>
      <c r="AA293" s="16" t="n">
        <v>0</v>
      </c>
      <c r="AB293" s="16" t="n">
        <v>0</v>
      </c>
      <c r="AC293" s="16" t="n">
        <v>635</v>
      </c>
      <c r="AD293" s="16" t="n">
        <v>29.89771875</v>
      </c>
      <c r="AE293" s="16" t="n">
        <v>15.8689556708278</v>
      </c>
      <c r="AF293" s="16" t="n">
        <v>0</v>
      </c>
      <c r="AG293" s="16" t="n">
        <v>45.7666744208278</v>
      </c>
      <c r="AH293" s="16" t="n">
        <v>4.24444977345964</v>
      </c>
      <c r="AI293" s="16" t="n">
        <v>4.24444977345964</v>
      </c>
      <c r="AJ293" s="16" t="n">
        <v>0.695916666666667</v>
      </c>
      <c r="AK293" s="16" t="n">
        <v>1.20833333333333</v>
      </c>
      <c r="AL293" s="16" t="n">
        <v>0.416666666666667</v>
      </c>
      <c r="AM293" s="16" t="n">
        <v>0</v>
      </c>
      <c r="AN293" s="16" t="n">
        <v>743.385674420828</v>
      </c>
      <c r="AO293" s="16" t="n">
        <v>248.033325579172</v>
      </c>
      <c r="AP293" s="16" t="n">
        <v>45.7666744208278</v>
      </c>
      <c r="AQ293" s="14" t="n">
        <v>248.033325579172</v>
      </c>
      <c r="AR293" s="14" t="s">
        <v>256</v>
      </c>
      <c r="AS293" s="29"/>
      <c r="AT293" s="14"/>
      <c r="AU293" s="17"/>
      <c r="AV293" s="17"/>
      <c r="AW293" s="16" t="n">
        <v>0</v>
      </c>
      <c r="AX293" s="14" t="s">
        <v>257</v>
      </c>
      <c r="AY293" s="14" t="s">
        <v>257</v>
      </c>
      <c r="AZ293" s="14" t="s">
        <v>258</v>
      </c>
      <c r="BA293" s="14" t="s">
        <v>259</v>
      </c>
      <c r="BB293" s="14" t="s">
        <v>585</v>
      </c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</row>
    <row r="294" customFormat="false" ht="15" hidden="false" customHeight="false" outlineLevel="0" collapsed="false">
      <c r="C294" s="14" t="s">
        <v>295</v>
      </c>
      <c r="D294" s="14" t="s">
        <v>296</v>
      </c>
      <c r="E294" s="14" t="s">
        <v>261</v>
      </c>
      <c r="F294" s="14" t="s">
        <v>253</v>
      </c>
      <c r="G294" s="29" t="n">
        <v>46082</v>
      </c>
      <c r="H294" s="29" t="n">
        <v>46112</v>
      </c>
      <c r="I294" s="14" t="s">
        <v>254</v>
      </c>
      <c r="J294" s="14" t="s">
        <v>255</v>
      </c>
      <c r="K294" s="14" t="n">
        <v>31</v>
      </c>
      <c r="L294" s="16" t="n">
        <v>126.916905998025</v>
      </c>
      <c r="M294" s="30" t="n">
        <v>28.8693217195837</v>
      </c>
      <c r="N294" s="16" t="n">
        <v>15.1858892022994</v>
      </c>
      <c r="O294" s="16" t="n">
        <v>-8.4900849345702</v>
      </c>
      <c r="P294" s="16" t="n">
        <v>-2.01037068246463</v>
      </c>
      <c r="Q294" s="16" t="n">
        <v>-22.0288106559561</v>
      </c>
      <c r="R294" s="16" t="n">
        <v>-4.44209170993088</v>
      </c>
      <c r="S294" s="16" t="n">
        <v>-0.66</v>
      </c>
      <c r="T294" s="16" t="n">
        <v>-13.9553838460523</v>
      </c>
      <c r="U294" s="16" t="n">
        <v>25</v>
      </c>
      <c r="V294" s="16" t="n">
        <v>25</v>
      </c>
      <c r="W294" s="16" t="n">
        <v>635</v>
      </c>
      <c r="X294" s="16" t="n">
        <v>0</v>
      </c>
      <c r="Y294" s="16" t="n">
        <v>0</v>
      </c>
      <c r="Z294" s="16" t="n">
        <v>0</v>
      </c>
      <c r="AA294" s="16" t="n">
        <v>0</v>
      </c>
      <c r="AB294" s="16" t="n">
        <v>0</v>
      </c>
      <c r="AC294" s="16" t="n">
        <v>635</v>
      </c>
      <c r="AD294" s="16" t="n">
        <v>45.7666744208278</v>
      </c>
      <c r="AE294" s="16" t="n">
        <v>20.6358926619616</v>
      </c>
      <c r="AF294" s="16" t="n">
        <v>0</v>
      </c>
      <c r="AG294" s="16" t="n">
        <v>66.4025670827894</v>
      </c>
      <c r="AH294" s="16" t="n">
        <v>4.35959214924264</v>
      </c>
      <c r="AI294" s="16" t="n">
        <v>4.35959214924264</v>
      </c>
      <c r="AJ294" s="16" t="n">
        <v>0.695916666666667</v>
      </c>
      <c r="AK294" s="16" t="n">
        <v>1.20833333333333</v>
      </c>
      <c r="AL294" s="16" t="n">
        <v>0.416666666666667</v>
      </c>
      <c r="AM294" s="16" t="n">
        <v>0</v>
      </c>
      <c r="AN294" s="16" t="n">
        <v>764.021567082789</v>
      </c>
      <c r="AO294" s="16" t="n">
        <v>227.397432917211</v>
      </c>
      <c r="AP294" s="16" t="n">
        <v>66.4025670827894</v>
      </c>
      <c r="AQ294" s="14" t="n">
        <v>227.397432917211</v>
      </c>
      <c r="AR294" s="14" t="s">
        <v>256</v>
      </c>
      <c r="AS294" s="29"/>
      <c r="AT294" s="14"/>
      <c r="AU294" s="17"/>
      <c r="AV294" s="17"/>
      <c r="AW294" s="16" t="n">
        <v>0</v>
      </c>
      <c r="AX294" s="14" t="s">
        <v>257</v>
      </c>
      <c r="AY294" s="14" t="s">
        <v>257</v>
      </c>
      <c r="AZ294" s="14" t="s">
        <v>258</v>
      </c>
      <c r="BA294" s="14" t="s">
        <v>259</v>
      </c>
      <c r="BB294" s="14" t="s">
        <v>586</v>
      </c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</row>
    <row r="295" customFormat="false" ht="15" hidden="false" customHeight="false" outlineLevel="0" collapsed="false">
      <c r="C295" s="14" t="s">
        <v>295</v>
      </c>
      <c r="D295" s="14" t="s">
        <v>296</v>
      </c>
      <c r="E295" s="14" t="s">
        <v>266</v>
      </c>
      <c r="F295" s="14" t="s">
        <v>253</v>
      </c>
      <c r="G295" s="29" t="n">
        <v>46113</v>
      </c>
      <c r="H295" s="29" t="n">
        <v>46142</v>
      </c>
      <c r="I295" s="14" t="s">
        <v>254</v>
      </c>
      <c r="J295" s="14" t="s">
        <v>255</v>
      </c>
      <c r="K295" s="14" t="n">
        <v>30</v>
      </c>
      <c r="L295" s="16" t="n">
        <v>211.528176663375</v>
      </c>
      <c r="M295" s="30" t="n">
        <v>28.8693217195837</v>
      </c>
      <c r="N295" s="16" t="n">
        <v>25.3098153371656</v>
      </c>
      <c r="O295" s="16" t="n">
        <v>-8.4900849345702</v>
      </c>
      <c r="P295" s="16" t="n">
        <v>-3.35061780410772</v>
      </c>
      <c r="Q295" s="16" t="n">
        <v>-36.7146844265935</v>
      </c>
      <c r="R295" s="16" t="n">
        <v>-7.40348618321813</v>
      </c>
      <c r="S295" s="16" t="n">
        <v>-1.1</v>
      </c>
      <c r="T295" s="16" t="n">
        <v>-23.2589730767538</v>
      </c>
      <c r="U295" s="16" t="n">
        <v>25</v>
      </c>
      <c r="V295" s="16" t="n">
        <v>25</v>
      </c>
      <c r="W295" s="16" t="n">
        <v>635</v>
      </c>
      <c r="X295" s="16" t="n">
        <v>11.90625</v>
      </c>
      <c r="Y295" s="16" t="n">
        <v>11.90625</v>
      </c>
      <c r="Z295" s="16" t="n">
        <v>0</v>
      </c>
      <c r="AA295" s="16" t="n">
        <v>0</v>
      </c>
      <c r="AB295" s="16" t="n">
        <v>0</v>
      </c>
      <c r="AC295" s="16" t="n">
        <v>623.09375</v>
      </c>
      <c r="AD295" s="16" t="n">
        <v>66.4025670827894</v>
      </c>
      <c r="AE295" s="16" t="n">
        <v>42.0057598079536</v>
      </c>
      <c r="AF295" s="16" t="n">
        <v>0</v>
      </c>
      <c r="AG295" s="16" t="n">
        <v>108.408326890743</v>
      </c>
      <c r="AH295" s="16" t="n">
        <v>4.51962006453314</v>
      </c>
      <c r="AI295" s="16" t="n">
        <v>4.51962006453314</v>
      </c>
      <c r="AJ295" s="16" t="n">
        <v>0.695916666666667</v>
      </c>
      <c r="AK295" s="16" t="n">
        <v>1.20833333333333</v>
      </c>
      <c r="AL295" s="16" t="n">
        <v>0.416666666666667</v>
      </c>
      <c r="AM295" s="16" t="n">
        <v>0</v>
      </c>
      <c r="AN295" s="16" t="n">
        <v>794.121076890743</v>
      </c>
      <c r="AO295" s="16" t="n">
        <v>185.391673109257</v>
      </c>
      <c r="AP295" s="16" t="n">
        <v>108.408326890743</v>
      </c>
      <c r="AQ295" s="14" t="n">
        <v>185.391673109257</v>
      </c>
      <c r="AR295" s="14" t="s">
        <v>256</v>
      </c>
      <c r="AS295" s="29"/>
      <c r="AT295" s="14"/>
      <c r="AU295" s="17"/>
      <c r="AV295" s="17"/>
      <c r="AW295" s="16" t="n">
        <v>0</v>
      </c>
      <c r="AX295" s="14" t="s">
        <v>257</v>
      </c>
      <c r="AY295" s="14" t="s">
        <v>257</v>
      </c>
      <c r="AZ295" s="14" t="s">
        <v>258</v>
      </c>
      <c r="BA295" s="14" t="s">
        <v>259</v>
      </c>
      <c r="BB295" s="14" t="s">
        <v>587</v>
      </c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</row>
    <row r="296" customFormat="false" ht="15" hidden="false" customHeight="false" outlineLevel="0" collapsed="false">
      <c r="C296" s="14" t="s">
        <v>295</v>
      </c>
      <c r="D296" s="14" t="s">
        <v>296</v>
      </c>
      <c r="E296" s="14" t="s">
        <v>270</v>
      </c>
      <c r="F296" s="14" t="s">
        <v>253</v>
      </c>
      <c r="G296" s="29" t="n">
        <v>46143</v>
      </c>
      <c r="H296" s="29" t="n">
        <v>46173</v>
      </c>
      <c r="I296" s="14" t="s">
        <v>254</v>
      </c>
      <c r="J296" s="14" t="s">
        <v>271</v>
      </c>
      <c r="K296" s="14" t="n">
        <v>31</v>
      </c>
      <c r="L296" s="16" t="n">
        <v>92.613735598725</v>
      </c>
      <c r="M296" s="30" t="n">
        <v>27.6901735836919</v>
      </c>
      <c r="N296" s="16" t="n">
        <v>9.98938567028436</v>
      </c>
      <c r="O296" s="16" t="n">
        <v>-9.2930702394357</v>
      </c>
      <c r="P296" s="16" t="n">
        <v>-1.19399331649023</v>
      </c>
      <c r="Q296" s="16" t="n">
        <v>0.954518543172876</v>
      </c>
      <c r="R296" s="16" t="n">
        <v>-3.24148074595538</v>
      </c>
      <c r="S296" s="16" t="n">
        <v>-0.3</v>
      </c>
      <c r="T296" s="16" t="n">
        <v>6.20843015101163</v>
      </c>
      <c r="U296" s="16" t="n">
        <v>25</v>
      </c>
      <c r="V296" s="16" t="n">
        <v>25</v>
      </c>
      <c r="W296" s="16" t="n">
        <v>623.09375</v>
      </c>
      <c r="X296" s="16" t="n">
        <v>0</v>
      </c>
      <c r="Y296" s="16" t="n">
        <v>0</v>
      </c>
      <c r="Z296" s="16" t="n">
        <v>0</v>
      </c>
      <c r="AA296" s="16" t="n">
        <v>0</v>
      </c>
      <c r="AB296" s="16" t="n">
        <v>0</v>
      </c>
      <c r="AC296" s="16" t="n">
        <v>623.09375</v>
      </c>
      <c r="AD296" s="16" t="n">
        <v>108.408326890743</v>
      </c>
      <c r="AE296" s="16" t="n">
        <v>0.729345929325997</v>
      </c>
      <c r="AF296" s="16" t="n">
        <v>0</v>
      </c>
      <c r="AG296" s="16" t="n">
        <v>109.137672820069</v>
      </c>
      <c r="AH296" s="16" t="n">
        <v>4.61685941367096</v>
      </c>
      <c r="AI296" s="16" t="n">
        <v>4.61685941367096</v>
      </c>
      <c r="AJ296" s="16" t="n">
        <v>0.695916666666667</v>
      </c>
      <c r="AK296" s="16" t="n">
        <v>1.20833333333333</v>
      </c>
      <c r="AL296" s="16" t="n">
        <v>0.416666666666667</v>
      </c>
      <c r="AM296" s="16" t="n">
        <v>0</v>
      </c>
      <c r="AN296" s="16" t="n">
        <v>794.850422820069</v>
      </c>
      <c r="AO296" s="16" t="n">
        <v>184.662327179931</v>
      </c>
      <c r="AP296" s="16" t="n">
        <v>109.137672820069</v>
      </c>
      <c r="AQ296" s="14" t="n">
        <v>184.662327179931</v>
      </c>
      <c r="AR296" s="14" t="s">
        <v>256</v>
      </c>
      <c r="AS296" s="29"/>
      <c r="AT296" s="14"/>
      <c r="AU296" s="17"/>
      <c r="AV296" s="17"/>
      <c r="AW296" s="16" t="n">
        <v>0</v>
      </c>
      <c r="AX296" s="14" t="s">
        <v>257</v>
      </c>
      <c r="AY296" s="14" t="s">
        <v>257</v>
      </c>
      <c r="AZ296" s="14" t="s">
        <v>258</v>
      </c>
      <c r="BA296" s="14" t="s">
        <v>259</v>
      </c>
      <c r="BB296" s="14" t="s">
        <v>588</v>
      </c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</row>
    <row r="297" customFormat="false" ht="15" hidden="false" customHeight="false" outlineLevel="0" collapsed="false">
      <c r="C297" s="14" t="s">
        <v>295</v>
      </c>
      <c r="D297" s="14" t="s">
        <v>296</v>
      </c>
      <c r="E297" s="14" t="s">
        <v>277</v>
      </c>
      <c r="F297" s="14" t="s">
        <v>253</v>
      </c>
      <c r="G297" s="29" t="n">
        <v>46174</v>
      </c>
      <c r="H297" s="29" t="n">
        <v>46203</v>
      </c>
      <c r="I297" s="14" t="s">
        <v>254</v>
      </c>
      <c r="J297" s="14" t="s">
        <v>271</v>
      </c>
      <c r="K297" s="14" t="n">
        <v>30</v>
      </c>
      <c r="L297" s="16" t="n">
        <v>138.920603398088</v>
      </c>
      <c r="M297" s="30" t="n">
        <v>27.6901735836919</v>
      </c>
      <c r="N297" s="16" t="n">
        <v>14.9840785054265</v>
      </c>
      <c r="O297" s="16" t="n">
        <v>-9.2930702394357</v>
      </c>
      <c r="P297" s="16" t="n">
        <v>-1.79098997473535</v>
      </c>
      <c r="Q297" s="16" t="n">
        <v>1.43177781475931</v>
      </c>
      <c r="R297" s="16" t="n">
        <v>-4.86222111893306</v>
      </c>
      <c r="S297" s="16" t="n">
        <v>-0.45</v>
      </c>
      <c r="T297" s="16" t="n">
        <v>9.31264522651744</v>
      </c>
      <c r="U297" s="16" t="n">
        <v>25</v>
      </c>
      <c r="V297" s="16" t="n">
        <v>25</v>
      </c>
      <c r="W297" s="16" t="n">
        <v>623.09375</v>
      </c>
      <c r="X297" s="16" t="n">
        <v>0</v>
      </c>
      <c r="Y297" s="16" t="n">
        <v>0</v>
      </c>
      <c r="Z297" s="16" t="n">
        <v>0</v>
      </c>
      <c r="AA297" s="16" t="n">
        <v>0</v>
      </c>
      <c r="AB297" s="16" t="n">
        <v>0</v>
      </c>
      <c r="AC297" s="16" t="n">
        <v>623.09375</v>
      </c>
      <c r="AD297" s="16" t="n">
        <v>109.137672820069</v>
      </c>
      <c r="AE297" s="16" t="n">
        <v>0</v>
      </c>
      <c r="AF297" s="16" t="n">
        <v>2.38007582338637</v>
      </c>
      <c r="AG297" s="16" t="n">
        <v>106.757596996683</v>
      </c>
      <c r="AH297" s="16" t="n">
        <v>4.61165273646441</v>
      </c>
      <c r="AI297" s="16" t="n">
        <v>4.61165273646441</v>
      </c>
      <c r="AJ297" s="16" t="n">
        <v>0.695916666666667</v>
      </c>
      <c r="AK297" s="16" t="n">
        <v>1.20833333333333</v>
      </c>
      <c r="AL297" s="16" t="n">
        <v>0.416666666666667</v>
      </c>
      <c r="AM297" s="16" t="n">
        <v>0</v>
      </c>
      <c r="AN297" s="16" t="n">
        <v>792.470346996683</v>
      </c>
      <c r="AO297" s="16" t="n">
        <v>187.042403003317</v>
      </c>
      <c r="AP297" s="16" t="n">
        <v>106.757596996683</v>
      </c>
      <c r="AQ297" s="14" t="n">
        <v>187.042403003317</v>
      </c>
      <c r="AR297" s="14" t="s">
        <v>256</v>
      </c>
      <c r="AS297" s="29"/>
      <c r="AT297" s="14"/>
      <c r="AU297" s="17"/>
      <c r="AV297" s="17"/>
      <c r="AW297" s="16" t="n">
        <v>0</v>
      </c>
      <c r="AX297" s="14" t="s">
        <v>257</v>
      </c>
      <c r="AY297" s="14" t="s">
        <v>257</v>
      </c>
      <c r="AZ297" s="14" t="s">
        <v>258</v>
      </c>
      <c r="BA297" s="14" t="s">
        <v>259</v>
      </c>
      <c r="BB297" s="14" t="s">
        <v>589</v>
      </c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</row>
    <row r="298" customFormat="false" ht="15" hidden="false" customHeight="false" outlineLevel="0" collapsed="false">
      <c r="C298" s="14" t="s">
        <v>295</v>
      </c>
      <c r="D298" s="14" t="s">
        <v>296</v>
      </c>
      <c r="E298" s="14" t="s">
        <v>282</v>
      </c>
      <c r="F298" s="14" t="s">
        <v>253</v>
      </c>
      <c r="G298" s="29" t="n">
        <v>46204</v>
      </c>
      <c r="H298" s="29" t="n">
        <v>46234</v>
      </c>
      <c r="I298" s="14" t="s">
        <v>254</v>
      </c>
      <c r="J298" s="14" t="s">
        <v>271</v>
      </c>
      <c r="K298" s="14" t="n">
        <v>31</v>
      </c>
      <c r="L298" s="16" t="n">
        <v>231.534338996813</v>
      </c>
      <c r="M298" s="30" t="n">
        <v>27.6901735836919</v>
      </c>
      <c r="N298" s="16" t="n">
        <v>24.9734641757109</v>
      </c>
      <c r="O298" s="16" t="n">
        <v>-9.2930702394357</v>
      </c>
      <c r="P298" s="16" t="n">
        <v>-2.98498329122558</v>
      </c>
      <c r="Q298" s="16" t="n">
        <v>2.38629635793219</v>
      </c>
      <c r="R298" s="16" t="n">
        <v>-8.10370186488844</v>
      </c>
      <c r="S298" s="16" t="n">
        <v>-0.75</v>
      </c>
      <c r="T298" s="16" t="n">
        <v>15.5210753775291</v>
      </c>
      <c r="U298" s="16" t="n">
        <v>25</v>
      </c>
      <c r="V298" s="16" t="n">
        <v>25</v>
      </c>
      <c r="W298" s="16" t="n">
        <v>623.09375</v>
      </c>
      <c r="X298" s="16" t="n">
        <v>11.90625</v>
      </c>
      <c r="Y298" s="16" t="n">
        <v>11.90625</v>
      </c>
      <c r="Z298" s="16" t="n">
        <v>0</v>
      </c>
      <c r="AA298" s="16" t="n">
        <v>0</v>
      </c>
      <c r="AB298" s="16" t="n">
        <v>0</v>
      </c>
      <c r="AC298" s="16" t="n">
        <v>611.1875</v>
      </c>
      <c r="AD298" s="16" t="n">
        <v>106.757596996683</v>
      </c>
      <c r="AE298" s="16" t="n">
        <v>3.28303782136052</v>
      </c>
      <c r="AF298" s="16" t="n">
        <v>0</v>
      </c>
      <c r="AG298" s="16" t="n">
        <v>110.040634818043</v>
      </c>
      <c r="AH298" s="16" t="n">
        <v>4.57694653222293</v>
      </c>
      <c r="AI298" s="16" t="n">
        <v>4.57694653222293</v>
      </c>
      <c r="AJ298" s="16" t="n">
        <v>0.695916666666667</v>
      </c>
      <c r="AK298" s="16" t="n">
        <v>1.20833333333333</v>
      </c>
      <c r="AL298" s="16" t="n">
        <v>0.416666666666667</v>
      </c>
      <c r="AM298" s="16" t="n">
        <v>0</v>
      </c>
      <c r="AN298" s="16" t="n">
        <v>783.847134818043</v>
      </c>
      <c r="AO298" s="16" t="n">
        <v>183.759365181957</v>
      </c>
      <c r="AP298" s="16" t="n">
        <v>110.040634818043</v>
      </c>
      <c r="AQ298" s="14" t="n">
        <v>183.759365181957</v>
      </c>
      <c r="AR298" s="14" t="s">
        <v>256</v>
      </c>
      <c r="AS298" s="29"/>
      <c r="AT298" s="14"/>
      <c r="AU298" s="17"/>
      <c r="AV298" s="17"/>
      <c r="AW298" s="16" t="n">
        <v>0</v>
      </c>
      <c r="AX298" s="14" t="s">
        <v>257</v>
      </c>
      <c r="AY298" s="14" t="s">
        <v>257</v>
      </c>
      <c r="AZ298" s="14" t="s">
        <v>258</v>
      </c>
      <c r="BA298" s="14" t="s">
        <v>259</v>
      </c>
      <c r="BB298" s="14" t="s">
        <v>590</v>
      </c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</row>
    <row r="299" customFormat="false" ht="15" hidden="false" customHeight="false" outlineLevel="0" collapsed="false">
      <c r="C299" s="14" t="s">
        <v>295</v>
      </c>
      <c r="D299" s="14" t="s">
        <v>296</v>
      </c>
      <c r="E299" s="14" t="s">
        <v>287</v>
      </c>
      <c r="F299" s="14" t="s">
        <v>253</v>
      </c>
      <c r="G299" s="29" t="n">
        <v>46235</v>
      </c>
      <c r="H299" s="29" t="n">
        <v>46265</v>
      </c>
      <c r="I299" s="14" t="s">
        <v>254</v>
      </c>
      <c r="J299" s="14" t="s">
        <v>288</v>
      </c>
      <c r="K299" s="14" t="n">
        <v>31</v>
      </c>
      <c r="L299" s="16" t="n">
        <v>91.59891196995</v>
      </c>
      <c r="M299" s="30" t="n">
        <v>27.9159174302794</v>
      </c>
      <c r="N299" s="16" t="n">
        <v>10.0867049542532</v>
      </c>
      <c r="O299" s="16" t="n">
        <v>-9.1912405572414</v>
      </c>
      <c r="P299" s="16" t="n">
        <v>-1.2326047504102</v>
      </c>
      <c r="Q299" s="16" t="n">
        <v>0.942147836813369</v>
      </c>
      <c r="R299" s="16" t="n">
        <v>-3.20596191894825</v>
      </c>
      <c r="S299" s="16" t="n">
        <v>0</v>
      </c>
      <c r="T299" s="16" t="n">
        <v>6.59028612170815</v>
      </c>
      <c r="U299" s="16" t="n">
        <v>25</v>
      </c>
      <c r="V299" s="16" t="n">
        <v>25</v>
      </c>
      <c r="W299" s="16" t="n">
        <v>611.1875</v>
      </c>
      <c r="X299" s="16" t="n">
        <v>0</v>
      </c>
      <c r="Y299" s="16" t="n">
        <v>0</v>
      </c>
      <c r="Z299" s="16" t="n">
        <v>0</v>
      </c>
      <c r="AA299" s="16" t="n">
        <v>0</v>
      </c>
      <c r="AB299" s="16" t="n">
        <v>0</v>
      </c>
      <c r="AC299" s="16" t="n">
        <v>611.1875</v>
      </c>
      <c r="AD299" s="16" t="n">
        <v>110.040634818043</v>
      </c>
      <c r="AE299" s="16" t="n">
        <v>0.281265186043232</v>
      </c>
      <c r="AF299" s="16" t="n">
        <v>0</v>
      </c>
      <c r="AG299" s="16" t="n">
        <v>110.321900004086</v>
      </c>
      <c r="AH299" s="16" t="n">
        <v>4.55063464108471</v>
      </c>
      <c r="AI299" s="16" t="n">
        <v>4.55063464108471</v>
      </c>
      <c r="AJ299" s="16" t="n">
        <v>0.695916666666667</v>
      </c>
      <c r="AK299" s="16" t="n">
        <v>1.20833333333333</v>
      </c>
      <c r="AL299" s="16" t="n">
        <v>0.416666666666667</v>
      </c>
      <c r="AM299" s="16" t="n">
        <v>0</v>
      </c>
      <c r="AN299" s="16" t="n">
        <v>784.128400004086</v>
      </c>
      <c r="AO299" s="16" t="n">
        <v>183.478099995914</v>
      </c>
      <c r="AP299" s="16" t="n">
        <v>110.321900004086</v>
      </c>
      <c r="AQ299" s="14" t="n">
        <v>183.478099995914</v>
      </c>
      <c r="AR299" s="14" t="s">
        <v>256</v>
      </c>
      <c r="AS299" s="29"/>
      <c r="AT299" s="14"/>
      <c r="AU299" s="17"/>
      <c r="AV299" s="17"/>
      <c r="AW299" s="16" t="n">
        <v>0</v>
      </c>
      <c r="AX299" s="14" t="s">
        <v>257</v>
      </c>
      <c r="AY299" s="14" t="s">
        <v>257</v>
      </c>
      <c r="AZ299" s="14" t="s">
        <v>258</v>
      </c>
      <c r="BA299" s="14" t="s">
        <v>259</v>
      </c>
      <c r="BB299" s="14" t="s">
        <v>591</v>
      </c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</row>
    <row r="300" customFormat="false" ht="15" hidden="false" customHeight="false" outlineLevel="0" collapsed="false">
      <c r="C300" s="14" t="s">
        <v>295</v>
      </c>
      <c r="D300" s="14" t="s">
        <v>296</v>
      </c>
      <c r="E300" s="14" t="s">
        <v>293</v>
      </c>
      <c r="F300" s="14" t="s">
        <v>253</v>
      </c>
      <c r="G300" s="29" t="n">
        <v>46266</v>
      </c>
      <c r="H300" s="29" t="n">
        <v>46295</v>
      </c>
      <c r="I300" s="14" t="s">
        <v>254</v>
      </c>
      <c r="J300" s="14" t="s">
        <v>288</v>
      </c>
      <c r="K300" s="14" t="n">
        <v>30</v>
      </c>
      <c r="L300" s="16" t="n">
        <v>137.398367954925</v>
      </c>
      <c r="M300" s="30" t="n">
        <v>27.9159174302794</v>
      </c>
      <c r="N300" s="16" t="n">
        <v>15.1300574313798</v>
      </c>
      <c r="O300" s="16" t="n">
        <v>-9.1912405572414</v>
      </c>
      <c r="P300" s="16" t="n">
        <v>-1.8489071256153</v>
      </c>
      <c r="Q300" s="16" t="n">
        <v>1.41322175522005</v>
      </c>
      <c r="R300" s="16" t="n">
        <v>-4.80894287842238</v>
      </c>
      <c r="S300" s="16" t="n">
        <v>0</v>
      </c>
      <c r="T300" s="16" t="n">
        <v>9.88542918256222</v>
      </c>
      <c r="U300" s="16" t="n">
        <v>25</v>
      </c>
      <c r="V300" s="16" t="n">
        <v>25</v>
      </c>
      <c r="W300" s="16" t="n">
        <v>611.1875</v>
      </c>
      <c r="X300" s="16" t="n">
        <v>0</v>
      </c>
      <c r="Y300" s="16" t="n">
        <v>0</v>
      </c>
      <c r="Z300" s="16" t="n">
        <v>0</v>
      </c>
      <c r="AA300" s="16" t="n">
        <v>0</v>
      </c>
      <c r="AB300" s="16" t="n">
        <v>0</v>
      </c>
      <c r="AC300" s="16" t="n">
        <v>611.1875</v>
      </c>
      <c r="AD300" s="16" t="n">
        <v>110.321900004086</v>
      </c>
      <c r="AE300" s="16" t="n">
        <v>0</v>
      </c>
      <c r="AF300" s="16" t="n">
        <v>3.02252426281446</v>
      </c>
      <c r="AG300" s="16" t="n">
        <v>107.299375741272</v>
      </c>
      <c r="AH300" s="16" t="n">
        <v>4.54198825308109</v>
      </c>
      <c r="AI300" s="16" t="n">
        <v>4.54198825308109</v>
      </c>
      <c r="AJ300" s="16" t="n">
        <v>0.695916666666667</v>
      </c>
      <c r="AK300" s="16" t="n">
        <v>1.20833333333333</v>
      </c>
      <c r="AL300" s="16" t="n">
        <v>0.416666666666667</v>
      </c>
      <c r="AM300" s="16" t="n">
        <v>0</v>
      </c>
      <c r="AN300" s="16" t="n">
        <v>781.105875741272</v>
      </c>
      <c r="AO300" s="16" t="n">
        <v>186.500624258728</v>
      </c>
      <c r="AP300" s="16" t="n">
        <v>107.299375741272</v>
      </c>
      <c r="AQ300" s="14" t="n">
        <v>186.500624258728</v>
      </c>
      <c r="AR300" s="14" t="s">
        <v>256</v>
      </c>
      <c r="AS300" s="29"/>
      <c r="AT300" s="14"/>
      <c r="AU300" s="17"/>
      <c r="AV300" s="17"/>
      <c r="AW300" s="16" t="n">
        <v>0</v>
      </c>
      <c r="AX300" s="14" t="s">
        <v>257</v>
      </c>
      <c r="AY300" s="14" t="s">
        <v>257</v>
      </c>
      <c r="AZ300" s="14" t="s">
        <v>258</v>
      </c>
      <c r="BA300" s="14" t="s">
        <v>259</v>
      </c>
      <c r="BB300" s="14" t="s">
        <v>592</v>
      </c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</row>
    <row r="301" customFormat="false" ht="15" hidden="false" customHeight="false" outlineLevel="0" collapsed="false">
      <c r="C301" s="14" t="s">
        <v>295</v>
      </c>
      <c r="D301" s="14" t="s">
        <v>296</v>
      </c>
      <c r="E301" s="14" t="s">
        <v>297</v>
      </c>
      <c r="F301" s="14" t="s">
        <v>253</v>
      </c>
      <c r="G301" s="29" t="n">
        <v>46296</v>
      </c>
      <c r="H301" s="29" t="n">
        <v>46326</v>
      </c>
      <c r="I301" s="14" t="s">
        <v>254</v>
      </c>
      <c r="J301" s="14" t="s">
        <v>288</v>
      </c>
      <c r="K301" s="14" t="n">
        <v>31</v>
      </c>
      <c r="L301" s="16" t="n">
        <v>228.997279924875</v>
      </c>
      <c r="M301" s="30" t="n">
        <v>27.9159174302794</v>
      </c>
      <c r="N301" s="16" t="n">
        <v>25.2167623856331</v>
      </c>
      <c r="O301" s="16" t="n">
        <v>-9.1912405572414</v>
      </c>
      <c r="P301" s="16" t="n">
        <v>-3.0815118760255</v>
      </c>
      <c r="Q301" s="16" t="n">
        <v>2.35536959203342</v>
      </c>
      <c r="R301" s="16" t="n">
        <v>-8.01490479737062</v>
      </c>
      <c r="S301" s="16" t="n">
        <v>0</v>
      </c>
      <c r="T301" s="16" t="n">
        <v>16.4757153042704</v>
      </c>
      <c r="U301" s="16" t="n">
        <v>25</v>
      </c>
      <c r="V301" s="16" t="n">
        <v>25</v>
      </c>
      <c r="W301" s="16" t="n">
        <v>611.1875</v>
      </c>
      <c r="X301" s="16" t="n">
        <v>11.90625</v>
      </c>
      <c r="Y301" s="16" t="n">
        <v>11.90625</v>
      </c>
      <c r="Z301" s="16" t="n">
        <v>0</v>
      </c>
      <c r="AA301" s="16" t="n">
        <v>0</v>
      </c>
      <c r="AB301" s="16" t="n">
        <v>0</v>
      </c>
      <c r="AC301" s="16" t="n">
        <v>599.28125</v>
      </c>
      <c r="AD301" s="16" t="n">
        <v>107.299375741272</v>
      </c>
      <c r="AE301" s="16" t="n">
        <v>2.25345956035173</v>
      </c>
      <c r="AF301" s="16" t="n">
        <v>0</v>
      </c>
      <c r="AG301" s="16" t="n">
        <v>109.552835301624</v>
      </c>
      <c r="AH301" s="16" t="n">
        <v>4.50200819795543</v>
      </c>
      <c r="AI301" s="16" t="n">
        <v>4.50200819795543</v>
      </c>
      <c r="AJ301" s="16" t="n">
        <v>0.695916666666667</v>
      </c>
      <c r="AK301" s="16" t="n">
        <v>1.20833333333333</v>
      </c>
      <c r="AL301" s="16" t="n">
        <v>0.416666666666667</v>
      </c>
      <c r="AM301" s="16" t="n">
        <v>0</v>
      </c>
      <c r="AN301" s="16" t="n">
        <v>771.453085301624</v>
      </c>
      <c r="AO301" s="16" t="n">
        <v>184.247164698376</v>
      </c>
      <c r="AP301" s="16" t="n">
        <v>109.552835301624</v>
      </c>
      <c r="AQ301" s="14" t="n">
        <v>184.247164698376</v>
      </c>
      <c r="AR301" s="14" t="s">
        <v>372</v>
      </c>
      <c r="AS301" s="29" t="n">
        <v>46327</v>
      </c>
      <c r="AT301" s="14" t="n">
        <v>183.025107508387</v>
      </c>
      <c r="AU301" s="17" t="n">
        <v>4.2150123324816</v>
      </c>
      <c r="AV301" s="17"/>
      <c r="AW301" s="16" t="n">
        <v>0</v>
      </c>
      <c r="AX301" s="14" t="s">
        <v>257</v>
      </c>
      <c r="AY301" s="14" t="s">
        <v>257</v>
      </c>
      <c r="AZ301" s="14" t="s">
        <v>373</v>
      </c>
      <c r="BA301" s="14" t="s">
        <v>259</v>
      </c>
      <c r="BB301" s="14" t="s">
        <v>593</v>
      </c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</row>
    <row r="302" customFormat="false" ht="15" hidden="false" customHeight="false" outlineLevel="0" collapsed="false">
      <c r="C302" s="14" t="s">
        <v>295</v>
      </c>
      <c r="D302" s="14" t="s">
        <v>296</v>
      </c>
      <c r="E302" s="14" t="s">
        <v>301</v>
      </c>
      <c r="F302" s="14" t="s">
        <v>253</v>
      </c>
      <c r="G302" s="29" t="n">
        <v>46327</v>
      </c>
      <c r="H302" s="29" t="n">
        <v>46356</v>
      </c>
      <c r="I302" s="14" t="s">
        <v>302</v>
      </c>
      <c r="J302" s="14" t="s">
        <v>303</v>
      </c>
      <c r="K302" s="14" t="n">
        <v>30</v>
      </c>
      <c r="L302" s="16" t="n">
        <v>74.8044876353551</v>
      </c>
      <c r="M302" s="30" t="n">
        <v>22.9096754759419</v>
      </c>
      <c r="N302" s="16" t="n">
        <v>4.49243996433288</v>
      </c>
      <c r="O302" s="16" t="n">
        <v>-7.50605029941072</v>
      </c>
      <c r="P302" s="16" t="n">
        <v>-0.0703864365908679</v>
      </c>
      <c r="Q302" s="16" t="n">
        <v>0.821762615170887</v>
      </c>
      <c r="R302" s="16" t="n">
        <v>-2.61815706723743</v>
      </c>
      <c r="S302" s="16" t="n">
        <v>0</v>
      </c>
      <c r="T302" s="16" t="n">
        <v>2.62565907567547</v>
      </c>
      <c r="U302" s="16" t="n">
        <v>25</v>
      </c>
      <c r="V302" s="16" t="n">
        <v>20.8598473875644</v>
      </c>
      <c r="W302" s="16" t="n">
        <v>599.28125</v>
      </c>
      <c r="X302" s="16" t="n">
        <v>0</v>
      </c>
      <c r="Y302" s="16" t="n">
        <v>0</v>
      </c>
      <c r="Z302" s="16" t="n">
        <v>0</v>
      </c>
      <c r="AA302" s="16" t="n">
        <v>0</v>
      </c>
      <c r="AB302" s="16" t="n">
        <v>0</v>
      </c>
      <c r="AC302" s="16" t="n">
        <v>599.28125</v>
      </c>
      <c r="AD302" s="16" t="n">
        <v>109.552835301624</v>
      </c>
      <c r="AE302" s="16" t="n">
        <v>0</v>
      </c>
      <c r="AF302" s="16" t="n">
        <v>0</v>
      </c>
      <c r="AG302" s="16" t="n">
        <v>109.552835301624</v>
      </c>
      <c r="AH302" s="16" t="n">
        <v>4.47156168811108</v>
      </c>
      <c r="AI302" s="16" t="n">
        <v>4.47156168811108</v>
      </c>
      <c r="AJ302" s="16" t="n">
        <v>0.66925</v>
      </c>
      <c r="AK302" s="16" t="n">
        <v>1.20833333333333</v>
      </c>
      <c r="AL302" s="16" t="n">
        <v>0.416666666666667</v>
      </c>
      <c r="AM302" s="16" t="n">
        <v>0</v>
      </c>
      <c r="AN302" s="16" t="n">
        <v>771.453085301624</v>
      </c>
      <c r="AO302" s="16" t="n">
        <v>0</v>
      </c>
      <c r="AP302" s="16" t="n">
        <v>109.552835301624</v>
      </c>
      <c r="AQ302" s="14" t="n">
        <v>184.247164698376</v>
      </c>
      <c r="AR302" s="14" t="s">
        <v>594</v>
      </c>
      <c r="AS302" s="29" t="n">
        <v>46327</v>
      </c>
      <c r="AT302" s="14" t="n">
        <v>176.842539568931</v>
      </c>
      <c r="AU302" s="17" t="n">
        <v>4.36237280454187</v>
      </c>
      <c r="AV302" s="17"/>
      <c r="AW302" s="16" t="n">
        <v>0</v>
      </c>
      <c r="AX302" s="14" t="s">
        <v>257</v>
      </c>
      <c r="AY302" s="14" t="s">
        <v>257</v>
      </c>
      <c r="AZ302" s="14" t="s">
        <v>455</v>
      </c>
      <c r="BA302" s="14" t="s">
        <v>259</v>
      </c>
      <c r="BB302" s="14" t="s">
        <v>595</v>
      </c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</row>
    <row r="303" customFormat="false" ht="15" hidden="false" customHeight="false" outlineLevel="0" collapsed="false">
      <c r="C303" s="14" t="s">
        <v>295</v>
      </c>
      <c r="D303" s="14" t="s">
        <v>296</v>
      </c>
      <c r="E303" s="14" t="s">
        <v>305</v>
      </c>
      <c r="F303" s="14" t="s">
        <v>253</v>
      </c>
      <c r="G303" s="29" t="n">
        <v>46357</v>
      </c>
      <c r="H303" s="29" t="n">
        <v>46387</v>
      </c>
      <c r="I303" s="14" t="s">
        <v>302</v>
      </c>
      <c r="J303" s="14" t="s">
        <v>303</v>
      </c>
      <c r="K303" s="14" t="n">
        <v>31</v>
      </c>
      <c r="L303" s="16" t="n">
        <v>112.206731453033</v>
      </c>
      <c r="M303" s="30" t="n">
        <v>22.9096754759419</v>
      </c>
      <c r="N303" s="16" t="n">
        <v>6.73865994649932</v>
      </c>
      <c r="O303" s="16" t="n">
        <v>-7.50605029941072</v>
      </c>
      <c r="P303" s="16" t="n">
        <v>-0.105579654886302</v>
      </c>
      <c r="Q303" s="16" t="n">
        <v>1.23264392275633</v>
      </c>
      <c r="R303" s="16" t="n">
        <v>-3.92723560085615</v>
      </c>
      <c r="S303" s="16" t="n">
        <v>0</v>
      </c>
      <c r="T303" s="16" t="n">
        <v>3.93848861351321</v>
      </c>
      <c r="U303" s="16" t="n">
        <v>20.8598473875644</v>
      </c>
      <c r="V303" s="16" t="n">
        <v>18.0325243129665</v>
      </c>
      <c r="W303" s="16" t="n">
        <v>599.28125</v>
      </c>
      <c r="X303" s="16" t="n">
        <v>0</v>
      </c>
      <c r="Y303" s="16" t="n">
        <v>0</v>
      </c>
      <c r="Z303" s="16" t="n">
        <v>0</v>
      </c>
      <c r="AA303" s="16" t="n">
        <v>0</v>
      </c>
      <c r="AB303" s="16" t="n">
        <v>0</v>
      </c>
      <c r="AC303" s="16" t="n">
        <v>599.28125</v>
      </c>
      <c r="AD303" s="16" t="n">
        <v>109.552835301624</v>
      </c>
      <c r="AE303" s="16" t="n">
        <v>0</v>
      </c>
      <c r="AF303" s="16" t="n">
        <v>0</v>
      </c>
      <c r="AG303" s="16" t="n">
        <v>109.552835301624</v>
      </c>
      <c r="AH303" s="16" t="n">
        <v>4.47156168811108</v>
      </c>
      <c r="AI303" s="16" t="n">
        <v>4.47156168811108</v>
      </c>
      <c r="AJ303" s="16" t="n">
        <v>0.66925</v>
      </c>
      <c r="AK303" s="16" t="n">
        <v>1.20833333333333</v>
      </c>
      <c r="AL303" s="16" t="n">
        <v>0.416666666666667</v>
      </c>
      <c r="AM303" s="16" t="n">
        <v>0</v>
      </c>
      <c r="AN303" s="16" t="n">
        <v>771.453085301624</v>
      </c>
      <c r="AO303" s="16" t="n">
        <v>0</v>
      </c>
      <c r="AP303" s="16" t="n">
        <v>109.552835301624</v>
      </c>
      <c r="AQ303" s="14" t="n">
        <v>184.247164698376</v>
      </c>
      <c r="AR303" s="14" t="s">
        <v>594</v>
      </c>
      <c r="AS303" s="29" t="n">
        <v>46327</v>
      </c>
      <c r="AT303" s="14" t="n">
        <v>172.906191611641</v>
      </c>
      <c r="AU303" s="17" t="n">
        <v>4.46168571588437</v>
      </c>
      <c r="AV303" s="17"/>
      <c r="AW303" s="16" t="n">
        <v>0</v>
      </c>
      <c r="AX303" s="14" t="s">
        <v>257</v>
      </c>
      <c r="AY303" s="14" t="s">
        <v>257</v>
      </c>
      <c r="AZ303" s="14" t="s">
        <v>455</v>
      </c>
      <c r="BA303" s="14" t="s">
        <v>259</v>
      </c>
      <c r="BB303" s="14" t="s">
        <v>596</v>
      </c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</row>
    <row r="304" customFormat="false" ht="15" hidden="false" customHeight="false" outlineLevel="0" collapsed="false">
      <c r="C304" s="14" t="s">
        <v>295</v>
      </c>
      <c r="D304" s="14" t="s">
        <v>296</v>
      </c>
      <c r="E304" s="14" t="s">
        <v>307</v>
      </c>
      <c r="F304" s="14" t="s">
        <v>253</v>
      </c>
      <c r="G304" s="29" t="n">
        <v>46388</v>
      </c>
      <c r="H304" s="29" t="n">
        <v>46418</v>
      </c>
      <c r="I304" s="14" t="s">
        <v>302</v>
      </c>
      <c r="J304" s="14" t="s">
        <v>303</v>
      </c>
      <c r="K304" s="14" t="n">
        <v>31</v>
      </c>
      <c r="L304" s="16" t="n">
        <v>187.011219088388</v>
      </c>
      <c r="M304" s="30" t="n">
        <v>22.9096754759419</v>
      </c>
      <c r="N304" s="16" t="n">
        <v>11.2310999108322</v>
      </c>
      <c r="O304" s="16" t="n">
        <v>-7.50605029941072</v>
      </c>
      <c r="P304" s="16" t="n">
        <v>-0.17596609147717</v>
      </c>
      <c r="Q304" s="16" t="n">
        <v>2.05440653792722</v>
      </c>
      <c r="R304" s="16" t="n">
        <v>-6.54539266809358</v>
      </c>
      <c r="S304" s="16" t="n">
        <v>0</v>
      </c>
      <c r="T304" s="16" t="n">
        <v>6.56414768918868</v>
      </c>
      <c r="U304" s="16" t="n">
        <v>18.0325243129665</v>
      </c>
      <c r="V304" s="16" t="n">
        <v>5.96216461091914</v>
      </c>
      <c r="W304" s="16" t="n">
        <v>599.28125</v>
      </c>
      <c r="X304" s="16" t="n">
        <v>11.90625</v>
      </c>
      <c r="Y304" s="16" t="n">
        <v>11.90625</v>
      </c>
      <c r="Z304" s="16" t="n">
        <v>0</v>
      </c>
      <c r="AA304" s="16" t="n">
        <v>0</v>
      </c>
      <c r="AB304" s="16" t="n">
        <v>0</v>
      </c>
      <c r="AC304" s="16" t="n">
        <v>587.375</v>
      </c>
      <c r="AD304" s="16" t="n">
        <v>109.552835301624</v>
      </c>
      <c r="AE304" s="16" t="n">
        <v>0</v>
      </c>
      <c r="AF304" s="16" t="n">
        <v>0</v>
      </c>
      <c r="AG304" s="16" t="n">
        <v>109.552835301624</v>
      </c>
      <c r="AH304" s="16" t="n">
        <v>4.43400739123608</v>
      </c>
      <c r="AI304" s="16" t="n">
        <v>4.43400739123608</v>
      </c>
      <c r="AJ304" s="16" t="n">
        <v>0.66925</v>
      </c>
      <c r="AK304" s="16" t="n">
        <v>1.20833333333333</v>
      </c>
      <c r="AL304" s="16" t="n">
        <v>0.416666666666667</v>
      </c>
      <c r="AM304" s="16" t="n">
        <v>0</v>
      </c>
      <c r="AN304" s="16" t="n">
        <v>759.546835301624</v>
      </c>
      <c r="AO304" s="16" t="n">
        <v>0</v>
      </c>
      <c r="AP304" s="16" t="n">
        <v>109.552835301624</v>
      </c>
      <c r="AQ304" s="14" t="n">
        <v>184.247164698376</v>
      </c>
      <c r="AR304" s="14" t="s">
        <v>594</v>
      </c>
      <c r="AS304" s="29" t="n">
        <v>46327</v>
      </c>
      <c r="AT304" s="14" t="n">
        <v>173.462283618684</v>
      </c>
      <c r="AU304" s="17" t="n">
        <v>4.37874343319099</v>
      </c>
      <c r="AV304" s="17" t="n">
        <v>3.21817149329233</v>
      </c>
      <c r="AW304" s="16" t="n">
        <v>0</v>
      </c>
      <c r="AX304" s="14" t="s">
        <v>257</v>
      </c>
      <c r="AY304" s="14" t="s">
        <v>257</v>
      </c>
      <c r="AZ304" s="14" t="s">
        <v>455</v>
      </c>
      <c r="BA304" s="14" t="s">
        <v>259</v>
      </c>
      <c r="BB304" s="14" t="s">
        <v>597</v>
      </c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</row>
    <row r="305" customFormat="false" ht="15" hidden="false" customHeight="false" outlineLevel="0" collapsed="false">
      <c r="C305" s="14" t="s">
        <v>295</v>
      </c>
      <c r="D305" s="14" t="s">
        <v>296</v>
      </c>
      <c r="E305" s="14" t="s">
        <v>309</v>
      </c>
      <c r="F305" s="14" t="s">
        <v>253</v>
      </c>
      <c r="G305" s="29" t="n">
        <v>46419</v>
      </c>
      <c r="H305" s="29" t="n">
        <v>46446</v>
      </c>
      <c r="I305" s="14" t="s">
        <v>302</v>
      </c>
      <c r="J305" s="14" t="s">
        <v>255</v>
      </c>
      <c r="K305" s="14" t="n">
        <v>28</v>
      </c>
      <c r="L305" s="16" t="n">
        <v>86.0796353568275</v>
      </c>
      <c r="M305" s="30" t="n">
        <v>28.8693217195837</v>
      </c>
      <c r="N305" s="16" t="n">
        <v>10.7300174026377</v>
      </c>
      <c r="O305" s="16" t="n">
        <v>-8.48987268244684</v>
      </c>
      <c r="P305" s="16" t="n">
        <v>-1.4711056422828</v>
      </c>
      <c r="Q305" s="16" t="n">
        <v>3.48264964411667</v>
      </c>
      <c r="R305" s="16" t="n">
        <v>-3.01278723748896</v>
      </c>
      <c r="S305" s="16" t="n">
        <v>0</v>
      </c>
      <c r="T305" s="16" t="n">
        <v>9.72877416698264</v>
      </c>
      <c r="U305" s="16" t="n">
        <v>5.96216461091914</v>
      </c>
      <c r="V305" s="16" t="n">
        <v>9.14542898256188</v>
      </c>
      <c r="W305" s="16" t="n">
        <v>587.375</v>
      </c>
      <c r="X305" s="16" t="n">
        <v>0</v>
      </c>
      <c r="Y305" s="16" t="n">
        <v>0</v>
      </c>
      <c r="Z305" s="16" t="n">
        <v>0</v>
      </c>
      <c r="AA305" s="16" t="n">
        <v>0</v>
      </c>
      <c r="AB305" s="16" t="n">
        <v>0</v>
      </c>
      <c r="AC305" s="16" t="n">
        <v>587.375</v>
      </c>
      <c r="AD305" s="16" t="n">
        <v>109.552835301624</v>
      </c>
      <c r="AE305" s="16" t="n">
        <v>0</v>
      </c>
      <c r="AF305" s="16" t="n">
        <v>0</v>
      </c>
      <c r="AG305" s="16" t="n">
        <v>109.552835301624</v>
      </c>
      <c r="AH305" s="16" t="n">
        <v>4.2512597953399</v>
      </c>
      <c r="AI305" s="16" t="n">
        <v>4.2512597953399</v>
      </c>
      <c r="AJ305" s="16" t="n">
        <v>0.66925</v>
      </c>
      <c r="AK305" s="16" t="n">
        <v>1.20833333333333</v>
      </c>
      <c r="AL305" s="16" t="n">
        <v>0.416666666666667</v>
      </c>
      <c r="AM305" s="16" t="n">
        <v>0</v>
      </c>
      <c r="AN305" s="16" t="n">
        <v>759.546835301624</v>
      </c>
      <c r="AO305" s="16" t="n">
        <v>0</v>
      </c>
      <c r="AP305" s="16" t="n">
        <v>109.552835301624</v>
      </c>
      <c r="AQ305" s="14" t="n">
        <v>184.247164698376</v>
      </c>
      <c r="AR305" s="14" t="s">
        <v>594</v>
      </c>
      <c r="AS305" s="29" t="n">
        <v>46327</v>
      </c>
      <c r="AT305" s="14" t="n">
        <v>174.068374886455</v>
      </c>
      <c r="AU305" s="17" t="n">
        <v>4.36349702119685</v>
      </c>
      <c r="AV305" s="17" t="n">
        <v>3.22900808120479</v>
      </c>
      <c r="AW305" s="16" t="n">
        <v>0</v>
      </c>
      <c r="AX305" s="14" t="s">
        <v>257</v>
      </c>
      <c r="AY305" s="14" t="s">
        <v>257</v>
      </c>
      <c r="AZ305" s="14" t="s">
        <v>455</v>
      </c>
      <c r="BA305" s="14" t="s">
        <v>259</v>
      </c>
      <c r="BB305" s="14" t="s">
        <v>598</v>
      </c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</row>
    <row r="306" customFormat="false" ht="15" hidden="false" customHeight="false" outlineLevel="0" collapsed="false">
      <c r="C306" s="14" t="s">
        <v>295</v>
      </c>
      <c r="D306" s="14" t="s">
        <v>296</v>
      </c>
      <c r="E306" s="14" t="s">
        <v>311</v>
      </c>
      <c r="F306" s="14" t="s">
        <v>253</v>
      </c>
      <c r="G306" s="29" t="n">
        <v>46447</v>
      </c>
      <c r="H306" s="29" t="n">
        <v>46477</v>
      </c>
      <c r="I306" s="14" t="s">
        <v>302</v>
      </c>
      <c r="J306" s="14" t="s">
        <v>255</v>
      </c>
      <c r="K306" s="14" t="n">
        <v>31</v>
      </c>
      <c r="L306" s="16" t="n">
        <v>129.119453035241</v>
      </c>
      <c r="M306" s="30" t="n">
        <v>28.8693217195837</v>
      </c>
      <c r="N306" s="16" t="n">
        <v>16.0950261039566</v>
      </c>
      <c r="O306" s="16" t="n">
        <v>-8.48987268244684</v>
      </c>
      <c r="P306" s="16" t="n">
        <v>-2.2066584634242</v>
      </c>
      <c r="Q306" s="16" t="n">
        <v>5.22397446617501</v>
      </c>
      <c r="R306" s="16" t="n">
        <v>-4.51918085623344</v>
      </c>
      <c r="S306" s="16" t="n">
        <v>0</v>
      </c>
      <c r="T306" s="16" t="n">
        <v>14.593161250474</v>
      </c>
      <c r="U306" s="16" t="n">
        <v>9.14542898256188</v>
      </c>
      <c r="V306" s="16" t="n">
        <v>17.1930804376959</v>
      </c>
      <c r="W306" s="16" t="n">
        <v>587.375</v>
      </c>
      <c r="X306" s="16" t="n">
        <v>0</v>
      </c>
      <c r="Y306" s="16" t="n">
        <v>0</v>
      </c>
      <c r="Z306" s="16" t="n">
        <v>0</v>
      </c>
      <c r="AA306" s="16" t="n">
        <v>0</v>
      </c>
      <c r="AB306" s="16" t="n">
        <v>0</v>
      </c>
      <c r="AC306" s="16" t="n">
        <v>587.375</v>
      </c>
      <c r="AD306" s="16" t="n">
        <v>109.552835301624</v>
      </c>
      <c r="AE306" s="16" t="n">
        <v>0</v>
      </c>
      <c r="AF306" s="16" t="n">
        <v>0</v>
      </c>
      <c r="AG306" s="16" t="n">
        <v>109.552835301624</v>
      </c>
      <c r="AH306" s="16" t="n">
        <v>4.2512597953399</v>
      </c>
      <c r="AI306" s="16" t="n">
        <v>4.2512597953399</v>
      </c>
      <c r="AJ306" s="16" t="n">
        <v>0.66925</v>
      </c>
      <c r="AK306" s="16" t="n">
        <v>1.20833333333333</v>
      </c>
      <c r="AL306" s="16" t="n">
        <v>0.416666666666667</v>
      </c>
      <c r="AM306" s="16" t="n">
        <v>0</v>
      </c>
      <c r="AN306" s="16" t="n">
        <v>759.546835301624</v>
      </c>
      <c r="AO306" s="16" t="n">
        <v>0</v>
      </c>
      <c r="AP306" s="16" t="n">
        <v>109.552835301624</v>
      </c>
      <c r="AQ306" s="14" t="n">
        <v>184.247164698376</v>
      </c>
      <c r="AR306" s="14" t="s">
        <v>594</v>
      </c>
      <c r="AS306" s="29" t="n">
        <v>46327</v>
      </c>
      <c r="AT306" s="14" t="n">
        <v>174.977511788112</v>
      </c>
      <c r="AU306" s="17" t="n">
        <v>4.34082544402272</v>
      </c>
      <c r="AV306" s="17" t="n">
        <v>3.25240878603198</v>
      </c>
      <c r="AW306" s="16" t="n">
        <v>0</v>
      </c>
      <c r="AX306" s="14" t="s">
        <v>257</v>
      </c>
      <c r="AY306" s="14" t="s">
        <v>257</v>
      </c>
      <c r="AZ306" s="14" t="s">
        <v>455</v>
      </c>
      <c r="BA306" s="14" t="s">
        <v>259</v>
      </c>
      <c r="BB306" s="14" t="s">
        <v>599</v>
      </c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</row>
    <row r="307" customFormat="false" ht="15" hidden="false" customHeight="false" outlineLevel="0" collapsed="false">
      <c r="C307" s="14" t="s">
        <v>295</v>
      </c>
      <c r="D307" s="14" t="s">
        <v>296</v>
      </c>
      <c r="E307" s="14" t="s">
        <v>313</v>
      </c>
      <c r="F307" s="14" t="s">
        <v>253</v>
      </c>
      <c r="G307" s="29" t="n">
        <v>46478</v>
      </c>
      <c r="H307" s="29" t="n">
        <v>46507</v>
      </c>
      <c r="I307" s="14" t="s">
        <v>302</v>
      </c>
      <c r="J307" s="14" t="s">
        <v>255</v>
      </c>
      <c r="K307" s="14" t="n">
        <v>30</v>
      </c>
      <c r="L307" s="16" t="n">
        <v>215.199088392069</v>
      </c>
      <c r="M307" s="30" t="n">
        <v>28.8693217195837</v>
      </c>
      <c r="N307" s="16" t="n">
        <v>26.8250435065943</v>
      </c>
      <c r="O307" s="16" t="n">
        <v>-8.48987268244684</v>
      </c>
      <c r="P307" s="16" t="n">
        <v>-3.677764105707</v>
      </c>
      <c r="Q307" s="16" t="n">
        <v>8.70662411029168</v>
      </c>
      <c r="R307" s="16" t="n">
        <v>-7.5319680937224</v>
      </c>
      <c r="S307" s="16" t="n">
        <v>0</v>
      </c>
      <c r="T307" s="16" t="n">
        <v>24.3219354174566</v>
      </c>
      <c r="U307" s="16" t="n">
        <v>17.1930804376959</v>
      </c>
      <c r="V307" s="16" t="n">
        <v>23.0995701223126</v>
      </c>
      <c r="W307" s="16" t="n">
        <v>587.375</v>
      </c>
      <c r="X307" s="16" t="n">
        <v>11.90625</v>
      </c>
      <c r="Y307" s="16" t="n">
        <v>11.90625</v>
      </c>
      <c r="Z307" s="16" t="n">
        <v>0</v>
      </c>
      <c r="AA307" s="16" t="n">
        <v>0</v>
      </c>
      <c r="AB307" s="16" t="n">
        <v>0</v>
      </c>
      <c r="AC307" s="16" t="n">
        <v>575.46875</v>
      </c>
      <c r="AD307" s="16" t="n">
        <v>109.552835301624</v>
      </c>
      <c r="AE307" s="16" t="n">
        <v>0</v>
      </c>
      <c r="AF307" s="16" t="n">
        <v>0</v>
      </c>
      <c r="AG307" s="16" t="n">
        <v>109.552835301624</v>
      </c>
      <c r="AH307" s="16" t="n">
        <v>4.2149457328399</v>
      </c>
      <c r="AI307" s="16" t="n">
        <v>4.2149457328399</v>
      </c>
      <c r="AJ307" s="16" t="n">
        <v>0.66925</v>
      </c>
      <c r="AK307" s="16" t="n">
        <v>1.20833333333333</v>
      </c>
      <c r="AL307" s="16" t="n">
        <v>0.416666666666667</v>
      </c>
      <c r="AM307" s="16" t="n">
        <v>0</v>
      </c>
      <c r="AN307" s="16" t="n">
        <v>747.640585301624</v>
      </c>
      <c r="AO307" s="16" t="n">
        <v>0</v>
      </c>
      <c r="AP307" s="16" t="n">
        <v>109.552835301624</v>
      </c>
      <c r="AQ307" s="14" t="n">
        <v>184.247164698376</v>
      </c>
      <c r="AR307" s="14" t="s">
        <v>594</v>
      </c>
      <c r="AS307" s="29" t="n">
        <v>46327</v>
      </c>
      <c r="AT307" s="14" t="n">
        <v>176.492739957541</v>
      </c>
      <c r="AU307" s="17" t="n">
        <v>4.2360982411032</v>
      </c>
      <c r="AV307" s="17" t="n">
        <v>3.29925743281177</v>
      </c>
      <c r="AW307" s="16" t="n">
        <v>0</v>
      </c>
      <c r="AX307" s="14" t="s">
        <v>257</v>
      </c>
      <c r="AY307" s="14" t="s">
        <v>257</v>
      </c>
      <c r="AZ307" s="14" t="s">
        <v>455</v>
      </c>
      <c r="BA307" s="14" t="s">
        <v>259</v>
      </c>
      <c r="BB307" s="14" t="s">
        <v>600</v>
      </c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</row>
    <row r="308" customFormat="false" ht="15" hidden="false" customHeight="false" outlineLevel="0" collapsed="false">
      <c r="C308" s="14" t="s">
        <v>295</v>
      </c>
      <c r="D308" s="14" t="s">
        <v>296</v>
      </c>
      <c r="E308" s="14" t="s">
        <v>315</v>
      </c>
      <c r="F308" s="14" t="s">
        <v>253</v>
      </c>
      <c r="G308" s="29" t="n">
        <v>46508</v>
      </c>
      <c r="H308" s="29" t="n">
        <v>46538</v>
      </c>
      <c r="I308" s="14" t="s">
        <v>302</v>
      </c>
      <c r="J308" s="14" t="s">
        <v>271</v>
      </c>
      <c r="K308" s="14" t="n">
        <v>31</v>
      </c>
      <c r="L308" s="16" t="n">
        <v>95.8305337936221</v>
      </c>
      <c r="M308" s="30" t="n">
        <v>27.6901735836919</v>
      </c>
      <c r="N308" s="16" t="n">
        <v>11.2946572285611</v>
      </c>
      <c r="O308" s="16" t="n">
        <v>-9.29283791267971</v>
      </c>
      <c r="P308" s="16" t="n">
        <v>-1.47504120506262</v>
      </c>
      <c r="Q308" s="16" t="n">
        <v>3.26723358675642</v>
      </c>
      <c r="R308" s="16" t="n">
        <v>-3.35406868277677</v>
      </c>
      <c r="S308" s="16" t="n">
        <v>0</v>
      </c>
      <c r="T308" s="16" t="n">
        <v>9.73278092747808</v>
      </c>
      <c r="U308" s="16" t="n">
        <v>23.0995701223126</v>
      </c>
      <c r="V308" s="16" t="n">
        <v>25</v>
      </c>
      <c r="W308" s="16" t="n">
        <v>575.46875</v>
      </c>
      <c r="X308" s="16" t="n">
        <v>0</v>
      </c>
      <c r="Y308" s="16" t="n">
        <v>0</v>
      </c>
      <c r="Z308" s="16" t="n">
        <v>0</v>
      </c>
      <c r="AA308" s="16" t="n">
        <v>0</v>
      </c>
      <c r="AB308" s="16" t="n">
        <v>0</v>
      </c>
      <c r="AC308" s="16" t="n">
        <v>575.46875</v>
      </c>
      <c r="AD308" s="16" t="n">
        <v>109.552835301624</v>
      </c>
      <c r="AE308" s="16" t="n">
        <v>0</v>
      </c>
      <c r="AF308" s="16" t="n">
        <v>1.50662046250078</v>
      </c>
      <c r="AG308" s="16" t="n">
        <v>108.046214839123</v>
      </c>
      <c r="AH308" s="16" t="n">
        <v>4.03148058728995</v>
      </c>
      <c r="AI308" s="16" t="n">
        <v>4.03148058728995</v>
      </c>
      <c r="AJ308" s="16" t="n">
        <v>0.66925</v>
      </c>
      <c r="AK308" s="16" t="n">
        <v>1.20833333333333</v>
      </c>
      <c r="AL308" s="16" t="n">
        <v>0.416666666666667</v>
      </c>
      <c r="AM308" s="16" t="n">
        <v>0</v>
      </c>
      <c r="AN308" s="16" t="n">
        <v>746.133964839123</v>
      </c>
      <c r="AO308" s="16" t="n">
        <v>0</v>
      </c>
      <c r="AP308" s="16" t="n">
        <v>108.046214839123</v>
      </c>
      <c r="AQ308" s="14" t="n">
        <v>185.753785160877</v>
      </c>
      <c r="AR308" s="14" t="s">
        <v>594</v>
      </c>
      <c r="AS308" s="29" t="n">
        <v>46327</v>
      </c>
      <c r="AT308" s="14" t="n">
        <v>177.798011515818</v>
      </c>
      <c r="AU308" s="17" t="n">
        <v>4.19652592555988</v>
      </c>
      <c r="AV308" s="17" t="n">
        <v>3.36042978949817</v>
      </c>
      <c r="AW308" s="16" t="n">
        <v>0</v>
      </c>
      <c r="AX308" s="14" t="s">
        <v>257</v>
      </c>
      <c r="AY308" s="14" t="s">
        <v>257</v>
      </c>
      <c r="AZ308" s="14" t="s">
        <v>373</v>
      </c>
      <c r="BA308" s="14" t="s">
        <v>259</v>
      </c>
      <c r="BB308" s="14" t="s">
        <v>601</v>
      </c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</row>
    <row r="309" customFormat="false" ht="15" hidden="false" customHeight="false" outlineLevel="0" collapsed="false">
      <c r="C309" s="14" t="s">
        <v>295</v>
      </c>
      <c r="D309" s="14" t="s">
        <v>296</v>
      </c>
      <c r="E309" s="14" t="s">
        <v>317</v>
      </c>
      <c r="F309" s="14" t="s">
        <v>253</v>
      </c>
      <c r="G309" s="29" t="n">
        <v>46539</v>
      </c>
      <c r="H309" s="29" t="n">
        <v>46568</v>
      </c>
      <c r="I309" s="14" t="s">
        <v>302</v>
      </c>
      <c r="J309" s="14" t="s">
        <v>271</v>
      </c>
      <c r="K309" s="14" t="n">
        <v>30</v>
      </c>
      <c r="L309" s="16" t="n">
        <v>143.745800690433</v>
      </c>
      <c r="M309" s="30" t="n">
        <v>27.6901735836919</v>
      </c>
      <c r="N309" s="16" t="n">
        <v>16.9419858428416</v>
      </c>
      <c r="O309" s="16" t="n">
        <v>-9.29283791267971</v>
      </c>
      <c r="P309" s="16" t="n">
        <v>-2.21256180759393</v>
      </c>
      <c r="Q309" s="16" t="n">
        <v>4.90085038013463</v>
      </c>
      <c r="R309" s="16" t="n">
        <v>-5.03110302416516</v>
      </c>
      <c r="S309" s="16" t="n">
        <v>0</v>
      </c>
      <c r="T309" s="16" t="n">
        <v>14.5991713912171</v>
      </c>
      <c r="U309" s="16" t="n">
        <v>25</v>
      </c>
      <c r="V309" s="16" t="n">
        <v>25</v>
      </c>
      <c r="W309" s="16" t="n">
        <v>575.46875</v>
      </c>
      <c r="X309" s="16" t="n">
        <v>0</v>
      </c>
      <c r="Y309" s="16" t="n">
        <v>0</v>
      </c>
      <c r="Z309" s="16" t="n">
        <v>0</v>
      </c>
      <c r="AA309" s="16" t="n">
        <v>0</v>
      </c>
      <c r="AB309" s="16" t="n">
        <v>0</v>
      </c>
      <c r="AC309" s="16" t="n">
        <v>575.46875</v>
      </c>
      <c r="AD309" s="16" t="n">
        <v>108.046214839123</v>
      </c>
      <c r="AE309" s="16" t="n">
        <v>0</v>
      </c>
      <c r="AF309" s="16" t="n">
        <v>8.3023363558865</v>
      </c>
      <c r="AG309" s="16" t="n">
        <v>99.7438784832363</v>
      </c>
      <c r="AH309" s="16" t="n">
        <v>4.00258503533062</v>
      </c>
      <c r="AI309" s="16" t="n">
        <v>4.00258503533062</v>
      </c>
      <c r="AJ309" s="16" t="n">
        <v>0.66925</v>
      </c>
      <c r="AK309" s="16" t="n">
        <v>1.20833333333333</v>
      </c>
      <c r="AL309" s="16" t="n">
        <v>0.416666666666667</v>
      </c>
      <c r="AM309" s="16" t="n">
        <v>0</v>
      </c>
      <c r="AN309" s="16" t="n">
        <v>737.831628483236</v>
      </c>
      <c r="AO309" s="16" t="n">
        <v>0</v>
      </c>
      <c r="AP309" s="16" t="n">
        <v>99.7438784832363</v>
      </c>
      <c r="AQ309" s="14" t="n">
        <v>194.056121516764</v>
      </c>
      <c r="AR309" s="14" t="s">
        <v>594</v>
      </c>
      <c r="AS309" s="29" t="n">
        <v>46327</v>
      </c>
      <c r="AT309" s="14" t="n">
        <v>179.755918853233</v>
      </c>
      <c r="AU309" s="17" t="n">
        <v>4.10463050780354</v>
      </c>
      <c r="AV309" s="17" t="n">
        <v>3.43699992827421</v>
      </c>
      <c r="AW309" s="16" t="n">
        <v>0</v>
      </c>
      <c r="AX309" s="14" t="s">
        <v>257</v>
      </c>
      <c r="AY309" s="14" t="s">
        <v>257</v>
      </c>
      <c r="AZ309" s="14" t="s">
        <v>373</v>
      </c>
      <c r="BA309" s="14" t="s">
        <v>259</v>
      </c>
      <c r="BB309" s="14" t="s">
        <v>602</v>
      </c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</row>
    <row r="310" customFormat="false" ht="15" hidden="false" customHeight="false" outlineLevel="0" collapsed="false">
      <c r="C310" s="14" t="s">
        <v>295</v>
      </c>
      <c r="D310" s="14" t="s">
        <v>296</v>
      </c>
      <c r="E310" s="14" t="s">
        <v>319</v>
      </c>
      <c r="F310" s="14" t="s">
        <v>253</v>
      </c>
      <c r="G310" s="29" t="n">
        <v>46569</v>
      </c>
      <c r="H310" s="29" t="n">
        <v>46599</v>
      </c>
      <c r="I310" s="14" t="s">
        <v>302</v>
      </c>
      <c r="J310" s="14" t="s">
        <v>271</v>
      </c>
      <c r="K310" s="14" t="n">
        <v>31</v>
      </c>
      <c r="L310" s="16" t="n">
        <v>239.576334484055</v>
      </c>
      <c r="M310" s="30" t="n">
        <v>27.6901735836919</v>
      </c>
      <c r="N310" s="16" t="n">
        <v>28.2366430714026</v>
      </c>
      <c r="O310" s="16" t="n">
        <v>-9.29283791267971</v>
      </c>
      <c r="P310" s="16" t="n">
        <v>-3.68760301265655</v>
      </c>
      <c r="Q310" s="16" t="n">
        <v>8.16808396689105</v>
      </c>
      <c r="R310" s="16" t="n">
        <v>-8.38517170694193</v>
      </c>
      <c r="S310" s="16" t="n">
        <v>0</v>
      </c>
      <c r="T310" s="16" t="n">
        <v>24.3319523186952</v>
      </c>
      <c r="U310" s="16" t="n">
        <v>25</v>
      </c>
      <c r="V310" s="16" t="n">
        <v>25</v>
      </c>
      <c r="W310" s="16" t="n">
        <v>575.46875</v>
      </c>
      <c r="X310" s="16" t="n">
        <v>11.90625</v>
      </c>
      <c r="Y310" s="16" t="n">
        <v>11.90625</v>
      </c>
      <c r="Z310" s="16" t="n">
        <v>0</v>
      </c>
      <c r="AA310" s="16" t="n">
        <v>0</v>
      </c>
      <c r="AB310" s="16" t="n">
        <v>0</v>
      </c>
      <c r="AC310" s="16" t="n">
        <v>563.5625</v>
      </c>
      <c r="AD310" s="16" t="n">
        <v>99.7438784832363</v>
      </c>
      <c r="AE310" s="16" t="n">
        <v>0</v>
      </c>
      <c r="AF310" s="16" t="n">
        <v>6.20668226216907</v>
      </c>
      <c r="AG310" s="16" t="n">
        <v>93.5371962210673</v>
      </c>
      <c r="AH310" s="16" t="n">
        <v>3.92477005652613</v>
      </c>
      <c r="AI310" s="16" t="n">
        <v>3.92477005652613</v>
      </c>
      <c r="AJ310" s="16" t="n">
        <v>0.66925</v>
      </c>
      <c r="AK310" s="16" t="n">
        <v>1.20833333333333</v>
      </c>
      <c r="AL310" s="16" t="n">
        <v>0.416666666666667</v>
      </c>
      <c r="AM310" s="16" t="n">
        <v>0</v>
      </c>
      <c r="AN310" s="16" t="n">
        <v>719.718696221067</v>
      </c>
      <c r="AO310" s="16" t="n">
        <v>0</v>
      </c>
      <c r="AP310" s="16" t="n">
        <v>93.5371962210673</v>
      </c>
      <c r="AQ310" s="14" t="n">
        <v>200.262803778933</v>
      </c>
      <c r="AR310" s="14" t="s">
        <v>594</v>
      </c>
      <c r="AS310" s="29" t="n">
        <v>46327</v>
      </c>
      <c r="AT310" s="14" t="n">
        <v>183.019097748925</v>
      </c>
      <c r="AU310" s="17" t="n">
        <v>3.93247865973209</v>
      </c>
      <c r="AV310" s="17" t="n">
        <v>3.54358106783341</v>
      </c>
      <c r="AW310" s="16" t="n">
        <v>0</v>
      </c>
      <c r="AX310" s="14" t="s">
        <v>257</v>
      </c>
      <c r="AY310" s="14" t="s">
        <v>257</v>
      </c>
      <c r="AZ310" s="14" t="s">
        <v>373</v>
      </c>
      <c r="BA310" s="14" t="s">
        <v>259</v>
      </c>
      <c r="BB310" s="14" t="s">
        <v>603</v>
      </c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</row>
    <row r="311" customFormat="false" ht="15" hidden="false" customHeight="false" outlineLevel="0" collapsed="false">
      <c r="C311" s="14" t="s">
        <v>295</v>
      </c>
      <c r="D311" s="14" t="s">
        <v>296</v>
      </c>
      <c r="E311" s="14" t="s">
        <v>321</v>
      </c>
      <c r="F311" s="14" t="s">
        <v>253</v>
      </c>
      <c r="G311" s="29" t="n">
        <v>46600</v>
      </c>
      <c r="H311" s="29" t="n">
        <v>46630</v>
      </c>
      <c r="I311" s="14" t="s">
        <v>302</v>
      </c>
      <c r="J311" s="14" t="s">
        <v>288</v>
      </c>
      <c r="K311" s="14" t="n">
        <v>31</v>
      </c>
      <c r="L311" s="16" t="n">
        <v>96.3723817002108</v>
      </c>
      <c r="M311" s="30" t="n">
        <v>27.9159174302794</v>
      </c>
      <c r="N311" s="16" t="n">
        <v>12.0579364515424</v>
      </c>
      <c r="O311" s="16" t="n">
        <v>-9.19101077622747</v>
      </c>
      <c r="P311" s="16" t="n">
        <v>-1.65823558521852</v>
      </c>
      <c r="Q311" s="16" t="n">
        <v>3.12489942847702</v>
      </c>
      <c r="R311" s="16" t="n">
        <v>-3.37303335950738</v>
      </c>
      <c r="S311" s="16" t="n">
        <v>0</v>
      </c>
      <c r="T311" s="16" t="n">
        <v>10.1515669352935</v>
      </c>
      <c r="U311" s="16" t="n">
        <v>25</v>
      </c>
      <c r="V311" s="16" t="n">
        <v>25</v>
      </c>
      <c r="W311" s="16" t="n">
        <v>563.5625</v>
      </c>
      <c r="X311" s="16" t="n">
        <v>0</v>
      </c>
      <c r="Y311" s="16" t="n">
        <v>0</v>
      </c>
      <c r="Z311" s="16" t="n">
        <v>0</v>
      </c>
      <c r="AA311" s="16" t="n">
        <v>0</v>
      </c>
      <c r="AB311" s="16" t="n">
        <v>0</v>
      </c>
      <c r="AC311" s="16" t="n">
        <v>563.5625</v>
      </c>
      <c r="AD311" s="16" t="n">
        <v>93.5371962210673</v>
      </c>
      <c r="AE311" s="16" t="n">
        <v>0</v>
      </c>
      <c r="AF311" s="16" t="n">
        <v>4.13454933947599</v>
      </c>
      <c r="AG311" s="16" t="n">
        <v>89.4026468815913</v>
      </c>
      <c r="AH311" s="16" t="n">
        <v>3.72276759581749</v>
      </c>
      <c r="AI311" s="16" t="n">
        <v>3.72276759581749</v>
      </c>
      <c r="AJ311" s="16" t="n">
        <v>0.66925</v>
      </c>
      <c r="AK311" s="16" t="n">
        <v>1.20833333333333</v>
      </c>
      <c r="AL311" s="16" t="n">
        <v>0.416666666666667</v>
      </c>
      <c r="AM311" s="16" t="n">
        <v>0</v>
      </c>
      <c r="AN311" s="16" t="n">
        <v>715.584146881591</v>
      </c>
      <c r="AO311" s="16" t="n">
        <v>0</v>
      </c>
      <c r="AP311" s="16" t="n">
        <v>89.4026468815913</v>
      </c>
      <c r="AQ311" s="14" t="n">
        <v>204.397353118409</v>
      </c>
      <c r="AR311" s="14" t="s">
        <v>594</v>
      </c>
      <c r="AS311" s="29" t="n">
        <v>46327</v>
      </c>
      <c r="AT311" s="14" t="n">
        <v>184.990329246214</v>
      </c>
      <c r="AU311" s="17" t="n">
        <v>3.86822462448392</v>
      </c>
      <c r="AV311" s="17" t="n">
        <v>3.64009477477082</v>
      </c>
      <c r="AW311" s="16" t="n">
        <v>0</v>
      </c>
      <c r="AX311" s="14" t="s">
        <v>257</v>
      </c>
      <c r="AY311" s="14" t="s">
        <v>257</v>
      </c>
      <c r="AZ311" s="14" t="s">
        <v>373</v>
      </c>
      <c r="BA311" s="14" t="s">
        <v>259</v>
      </c>
      <c r="BB311" s="14" t="s">
        <v>604</v>
      </c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</row>
    <row r="312" customFormat="false" ht="15" hidden="false" customHeight="false" outlineLevel="0" collapsed="false">
      <c r="C312" s="14" t="s">
        <v>295</v>
      </c>
      <c r="D312" s="14" t="s">
        <v>296</v>
      </c>
      <c r="E312" s="14" t="s">
        <v>323</v>
      </c>
      <c r="F312" s="14" t="s">
        <v>253</v>
      </c>
      <c r="G312" s="29" t="n">
        <v>46631</v>
      </c>
      <c r="H312" s="29" t="n">
        <v>46660</v>
      </c>
      <c r="I312" s="14" t="s">
        <v>302</v>
      </c>
      <c r="J312" s="14" t="s">
        <v>288</v>
      </c>
      <c r="K312" s="14" t="n">
        <v>30</v>
      </c>
      <c r="L312" s="16" t="n">
        <v>144.558572550316</v>
      </c>
      <c r="M312" s="30" t="n">
        <v>27.9159174302794</v>
      </c>
      <c r="N312" s="16" t="n">
        <v>18.0869046773135</v>
      </c>
      <c r="O312" s="16" t="n">
        <v>-9.19101077622747</v>
      </c>
      <c r="P312" s="16" t="n">
        <v>-2.48735337782778</v>
      </c>
      <c r="Q312" s="16" t="n">
        <v>4.68734914271553</v>
      </c>
      <c r="R312" s="16" t="n">
        <v>-5.05955003926106</v>
      </c>
      <c r="S312" s="16" t="n">
        <v>0</v>
      </c>
      <c r="T312" s="16" t="n">
        <v>15.2273504029402</v>
      </c>
      <c r="U312" s="16" t="n">
        <v>25</v>
      </c>
      <c r="V312" s="16" t="n">
        <v>25</v>
      </c>
      <c r="W312" s="16" t="n">
        <v>563.5625</v>
      </c>
      <c r="X312" s="16" t="n">
        <v>0</v>
      </c>
      <c r="Y312" s="16" t="n">
        <v>0</v>
      </c>
      <c r="Z312" s="16" t="n">
        <v>0</v>
      </c>
      <c r="AA312" s="16" t="n">
        <v>0</v>
      </c>
      <c r="AB312" s="16" t="n">
        <v>0</v>
      </c>
      <c r="AC312" s="16" t="n">
        <v>563.5625</v>
      </c>
      <c r="AD312" s="16" t="n">
        <v>89.4026468815913</v>
      </c>
      <c r="AE312" s="16" t="n">
        <v>0</v>
      </c>
      <c r="AF312" s="16" t="n">
        <v>9.2483625818315</v>
      </c>
      <c r="AG312" s="16" t="n">
        <v>80.1542842997598</v>
      </c>
      <c r="AH312" s="16" t="n">
        <v>3.68473782110871</v>
      </c>
      <c r="AI312" s="16" t="n">
        <v>3.68473782110871</v>
      </c>
      <c r="AJ312" s="16" t="n">
        <v>0.66925</v>
      </c>
      <c r="AK312" s="16" t="n">
        <v>1.20833333333333</v>
      </c>
      <c r="AL312" s="16" t="n">
        <v>0.416666666666667</v>
      </c>
      <c r="AM312" s="16" t="n">
        <v>0</v>
      </c>
      <c r="AN312" s="16" t="n">
        <v>706.33578429976</v>
      </c>
      <c r="AO312" s="16" t="n">
        <v>0</v>
      </c>
      <c r="AP312" s="16" t="n">
        <v>80.1542842997598</v>
      </c>
      <c r="AQ312" s="14" t="n">
        <v>213.64571570024</v>
      </c>
      <c r="AR312" s="14" t="s">
        <v>594</v>
      </c>
      <c r="AS312" s="29" t="n">
        <v>46327</v>
      </c>
      <c r="AT312" s="14" t="n">
        <v>187.947176492147</v>
      </c>
      <c r="AU312" s="17" t="n">
        <v>3.75816118913216</v>
      </c>
      <c r="AV312" s="17" t="n">
        <v>3.76173131995836</v>
      </c>
      <c r="AW312" s="16" t="n">
        <v>0</v>
      </c>
      <c r="AX312" s="14" t="s">
        <v>257</v>
      </c>
      <c r="AY312" s="14" t="s">
        <v>257</v>
      </c>
      <c r="AZ312" s="14" t="s">
        <v>373</v>
      </c>
      <c r="BA312" s="14" t="s">
        <v>259</v>
      </c>
      <c r="BB312" s="14" t="s">
        <v>605</v>
      </c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</row>
    <row r="313" customFormat="false" ht="15" hidden="false" customHeight="false" outlineLevel="0" collapsed="false">
      <c r="C313" s="14" t="s">
        <v>295</v>
      </c>
      <c r="D313" s="14" t="s">
        <v>296</v>
      </c>
      <c r="E313" s="14" t="s">
        <v>325</v>
      </c>
      <c r="F313" s="14" t="s">
        <v>253</v>
      </c>
      <c r="G313" s="29" t="n">
        <v>46661</v>
      </c>
      <c r="H313" s="29" t="n">
        <v>46691</v>
      </c>
      <c r="I313" s="14" t="s">
        <v>302</v>
      </c>
      <c r="J313" s="14" t="s">
        <v>288</v>
      </c>
      <c r="K313" s="14" t="n">
        <v>31</v>
      </c>
      <c r="L313" s="16" t="n">
        <v>240.930954250527</v>
      </c>
      <c r="M313" s="30" t="n">
        <v>27.9159174302794</v>
      </c>
      <c r="N313" s="16" t="n">
        <v>30.1448411288559</v>
      </c>
      <c r="O313" s="16" t="n">
        <v>-9.19101077622747</v>
      </c>
      <c r="P313" s="16" t="n">
        <v>-4.14558896304631</v>
      </c>
      <c r="Q313" s="16" t="n">
        <v>7.81224857119256</v>
      </c>
      <c r="R313" s="16" t="n">
        <v>-8.43258339876844</v>
      </c>
      <c r="S313" s="16" t="n">
        <v>0</v>
      </c>
      <c r="T313" s="16" t="n">
        <v>25.3789173382337</v>
      </c>
      <c r="U313" s="16" t="n">
        <v>25</v>
      </c>
      <c r="V313" s="16" t="n">
        <v>25</v>
      </c>
      <c r="W313" s="16" t="n">
        <v>563.5625</v>
      </c>
      <c r="X313" s="16" t="n">
        <v>11.90625</v>
      </c>
      <c r="Y313" s="16" t="n">
        <v>11.90625</v>
      </c>
      <c r="Z313" s="16" t="n">
        <v>0</v>
      </c>
      <c r="AA313" s="16" t="n">
        <v>0</v>
      </c>
      <c r="AB313" s="16" t="n">
        <v>0</v>
      </c>
      <c r="AC313" s="16" t="n">
        <v>551.65625</v>
      </c>
      <c r="AD313" s="16" t="n">
        <v>80.1542842997598</v>
      </c>
      <c r="AE313" s="16" t="n">
        <v>0</v>
      </c>
      <c r="AF313" s="16" t="n">
        <v>7.57532041004387</v>
      </c>
      <c r="AG313" s="16" t="n">
        <v>72.5789638897159</v>
      </c>
      <c r="AH313" s="16" t="n">
        <v>3.60309692818983</v>
      </c>
      <c r="AI313" s="16" t="n">
        <v>3.60309692818983</v>
      </c>
      <c r="AJ313" s="16" t="n">
        <v>0.66925</v>
      </c>
      <c r="AK313" s="16" t="n">
        <v>1.20833333333333</v>
      </c>
      <c r="AL313" s="16" t="n">
        <v>0.416666666666667</v>
      </c>
      <c r="AM313" s="16" t="n">
        <v>0</v>
      </c>
      <c r="AN313" s="16" t="n">
        <v>686.854213889716</v>
      </c>
      <c r="AO313" s="16" t="n">
        <v>0</v>
      </c>
      <c r="AP313" s="16" t="n">
        <v>72.5789638897159</v>
      </c>
      <c r="AQ313" s="14" t="n">
        <v>221.221036110284</v>
      </c>
      <c r="AR313" s="14" t="s">
        <v>594</v>
      </c>
      <c r="AS313" s="29" t="n">
        <v>46327</v>
      </c>
      <c r="AT313" s="14" t="n">
        <v>192.87525523537</v>
      </c>
      <c r="AU313" s="17" t="n">
        <v>3.5611318468589</v>
      </c>
      <c r="AV313" s="17" t="n">
        <v>3.93109247361007</v>
      </c>
      <c r="AW313" s="16" t="n">
        <v>0</v>
      </c>
      <c r="AX313" s="14" t="s">
        <v>257</v>
      </c>
      <c r="AY313" s="14" t="s">
        <v>257</v>
      </c>
      <c r="AZ313" s="14" t="s">
        <v>373</v>
      </c>
      <c r="BA313" s="14" t="s">
        <v>259</v>
      </c>
      <c r="BB313" s="14" t="s">
        <v>606</v>
      </c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</row>
    <row r="314" customFormat="false" ht="15" hidden="false" customHeight="false" outlineLevel="0" collapsed="false">
      <c r="C314" s="14" t="s">
        <v>295</v>
      </c>
      <c r="D314" s="14" t="s">
        <v>296</v>
      </c>
      <c r="E314" s="14" t="s">
        <v>327</v>
      </c>
      <c r="F314" s="14" t="s">
        <v>253</v>
      </c>
      <c r="G314" s="29" t="n">
        <v>46692</v>
      </c>
      <c r="H314" s="29" t="n">
        <v>46721</v>
      </c>
      <c r="I314" s="14" t="s">
        <v>328</v>
      </c>
      <c r="J314" s="14" t="s">
        <v>303</v>
      </c>
      <c r="K314" s="14" t="n">
        <v>30</v>
      </c>
      <c r="L314" s="16" t="n">
        <v>133.337999150025</v>
      </c>
      <c r="M314" s="30" t="n">
        <v>22.9096754759419</v>
      </c>
      <c r="N314" s="16" t="n">
        <v>10.6744741600661</v>
      </c>
      <c r="O314" s="16" t="n">
        <v>-7.50586264815323</v>
      </c>
      <c r="P314" s="16" t="n">
        <v>-0.792152877978208</v>
      </c>
      <c r="Q314" s="16" t="n">
        <v>5.21542270969534</v>
      </c>
      <c r="R314" s="16" t="n">
        <v>-4.66682997025089</v>
      </c>
      <c r="S314" s="16" t="n">
        <v>0</v>
      </c>
      <c r="T314" s="16" t="n">
        <v>10.4309140215323</v>
      </c>
      <c r="U314" s="16" t="n">
        <v>25</v>
      </c>
      <c r="V314" s="16" t="n">
        <v>25</v>
      </c>
      <c r="W314" s="16" t="n">
        <v>551.65625</v>
      </c>
      <c r="X314" s="16" t="n">
        <v>0</v>
      </c>
      <c r="Y314" s="16" t="n">
        <v>0</v>
      </c>
      <c r="Z314" s="16" t="n">
        <v>0</v>
      </c>
      <c r="AA314" s="16" t="n">
        <v>0</v>
      </c>
      <c r="AB314" s="16" t="n">
        <v>0</v>
      </c>
      <c r="AC314" s="16" t="n">
        <v>551.65625</v>
      </c>
      <c r="AD314" s="16" t="n">
        <v>72.5789638897159</v>
      </c>
      <c r="AE314" s="16" t="n">
        <v>0</v>
      </c>
      <c r="AF314" s="16" t="n">
        <v>4.83228794707382</v>
      </c>
      <c r="AG314" s="16" t="n">
        <v>67.7466759426421</v>
      </c>
      <c r="AH314" s="16" t="n">
        <v>3.40445940779182</v>
      </c>
      <c r="AI314" s="16" t="n">
        <v>3.40445940779182</v>
      </c>
      <c r="AJ314" s="16" t="n">
        <v>0.569166666666667</v>
      </c>
      <c r="AK314" s="16" t="n">
        <v>1.20833333333333</v>
      </c>
      <c r="AL314" s="16" t="n">
        <v>0.416666666666667</v>
      </c>
      <c r="AM314" s="16" t="n">
        <v>0</v>
      </c>
      <c r="AN314" s="16" t="n">
        <v>682.021925942642</v>
      </c>
      <c r="AO314" s="16" t="n">
        <v>0</v>
      </c>
      <c r="AP314" s="16" t="n">
        <v>67.7466759426421</v>
      </c>
      <c r="AQ314" s="14" t="n">
        <v>226.053324057358</v>
      </c>
      <c r="AR314" s="14" t="s">
        <v>594</v>
      </c>
      <c r="AS314" s="29" t="n">
        <v>46327</v>
      </c>
      <c r="AT314" s="14" t="n">
        <v>199.057289431103</v>
      </c>
      <c r="AU314" s="17" t="n">
        <v>3.42625948485398</v>
      </c>
      <c r="AV314" s="17" t="n">
        <v>4.14729195848877</v>
      </c>
      <c r="AW314" s="16" t="n">
        <v>0</v>
      </c>
      <c r="AX314" s="14" t="s">
        <v>257</v>
      </c>
      <c r="AY314" s="14" t="s">
        <v>257</v>
      </c>
      <c r="AZ314" s="14" t="s">
        <v>373</v>
      </c>
      <c r="BA314" s="14" t="s">
        <v>259</v>
      </c>
      <c r="BB314" s="14" t="s">
        <v>607</v>
      </c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</row>
    <row r="315" customFormat="false" ht="15" hidden="false" customHeight="false" outlineLevel="0" collapsed="false">
      <c r="C315" s="14" t="s">
        <v>295</v>
      </c>
      <c r="D315" s="14" t="s">
        <v>296</v>
      </c>
      <c r="E315" s="14" t="s">
        <v>330</v>
      </c>
      <c r="F315" s="14" t="s">
        <v>253</v>
      </c>
      <c r="G315" s="29" t="n">
        <v>46722</v>
      </c>
      <c r="H315" s="29" t="n">
        <v>46752</v>
      </c>
      <c r="I315" s="14" t="s">
        <v>328</v>
      </c>
      <c r="J315" s="14" t="s">
        <v>303</v>
      </c>
      <c r="K315" s="14" t="n">
        <v>31</v>
      </c>
      <c r="L315" s="16" t="n">
        <v>133.337999150025</v>
      </c>
      <c r="M315" s="30" t="n">
        <v>22.9096754759419</v>
      </c>
      <c r="N315" s="16" t="n">
        <v>10.6744741600661</v>
      </c>
      <c r="O315" s="16" t="n">
        <v>-7.50586264815323</v>
      </c>
      <c r="P315" s="16" t="n">
        <v>-0.792152877978208</v>
      </c>
      <c r="Q315" s="16" t="n">
        <v>5.21542270969534</v>
      </c>
      <c r="R315" s="16" t="n">
        <v>-4.66682997025089</v>
      </c>
      <c r="S315" s="16" t="n">
        <v>0</v>
      </c>
      <c r="T315" s="16" t="n">
        <v>10.4309140215323</v>
      </c>
      <c r="U315" s="16" t="n">
        <v>25</v>
      </c>
      <c r="V315" s="16" t="n">
        <v>25</v>
      </c>
      <c r="W315" s="16" t="n">
        <v>551.65625</v>
      </c>
      <c r="X315" s="16" t="n">
        <v>0</v>
      </c>
      <c r="Y315" s="16" t="n">
        <v>0</v>
      </c>
      <c r="Z315" s="16" t="n">
        <v>0</v>
      </c>
      <c r="AA315" s="16" t="n">
        <v>0</v>
      </c>
      <c r="AB315" s="16" t="n">
        <v>0</v>
      </c>
      <c r="AC315" s="16" t="n">
        <v>551.65625</v>
      </c>
      <c r="AD315" s="16" t="n">
        <v>67.7466759426421</v>
      </c>
      <c r="AE315" s="16" t="n">
        <v>0</v>
      </c>
      <c r="AF315" s="16" t="n">
        <v>4.85881734781859</v>
      </c>
      <c r="AG315" s="16" t="n">
        <v>62.8878585948235</v>
      </c>
      <c r="AH315" s="16" t="n">
        <v>3.37793000704706</v>
      </c>
      <c r="AI315" s="16" t="n">
        <v>3.37793000704706</v>
      </c>
      <c r="AJ315" s="16" t="n">
        <v>0.569166666666667</v>
      </c>
      <c r="AK315" s="16" t="n">
        <v>1.20833333333333</v>
      </c>
      <c r="AL315" s="16" t="n">
        <v>0.416666666666667</v>
      </c>
      <c r="AM315" s="16" t="n">
        <v>0</v>
      </c>
      <c r="AN315" s="16" t="n">
        <v>677.163108594824</v>
      </c>
      <c r="AO315" s="16" t="n">
        <v>0</v>
      </c>
      <c r="AP315" s="16" t="n">
        <v>62.8878585948235</v>
      </c>
      <c r="AQ315" s="14" t="n">
        <v>230.912141405177</v>
      </c>
      <c r="AR315" s="14" t="s">
        <v>594</v>
      </c>
      <c r="AS315" s="29" t="n">
        <v>46327</v>
      </c>
      <c r="AT315" s="14" t="n">
        <v>202.99310364467</v>
      </c>
      <c r="AU315" s="17" t="n">
        <v>3.33589218764873</v>
      </c>
      <c r="AV315" s="17" t="n">
        <v>4.32790662871887</v>
      </c>
      <c r="AW315" s="16" t="n">
        <v>0</v>
      </c>
      <c r="AX315" s="14" t="s">
        <v>257</v>
      </c>
      <c r="AY315" s="14" t="s">
        <v>257</v>
      </c>
      <c r="AZ315" s="14" t="s">
        <v>373</v>
      </c>
      <c r="BA315" s="14" t="s">
        <v>259</v>
      </c>
      <c r="BB315" s="14" t="s">
        <v>608</v>
      </c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</row>
    <row r="316" customFormat="false" ht="15" hidden="false" customHeight="false" outlineLevel="0" collapsed="false">
      <c r="C316" s="14" t="s">
        <v>295</v>
      </c>
      <c r="D316" s="14" t="s">
        <v>296</v>
      </c>
      <c r="E316" s="14" t="s">
        <v>332</v>
      </c>
      <c r="F316" s="14" t="s">
        <v>253</v>
      </c>
      <c r="G316" s="29" t="n">
        <v>46753</v>
      </c>
      <c r="H316" s="29" t="n">
        <v>46783</v>
      </c>
      <c r="I316" s="14" t="s">
        <v>328</v>
      </c>
      <c r="J316" s="14" t="s">
        <v>303</v>
      </c>
      <c r="K316" s="14" t="n">
        <v>31</v>
      </c>
      <c r="L316" s="16" t="n">
        <v>133.337999150025</v>
      </c>
      <c r="M316" s="30" t="n">
        <v>22.9096754759419</v>
      </c>
      <c r="N316" s="16" t="n">
        <v>10.6744741600661</v>
      </c>
      <c r="O316" s="16" t="n">
        <v>-7.50586264815323</v>
      </c>
      <c r="P316" s="16" t="n">
        <v>-0.792152877978208</v>
      </c>
      <c r="Q316" s="16" t="n">
        <v>5.21542270969534</v>
      </c>
      <c r="R316" s="16" t="n">
        <v>-4.66682997025089</v>
      </c>
      <c r="S316" s="16" t="n">
        <v>0</v>
      </c>
      <c r="T316" s="16" t="n">
        <v>10.4309140215323</v>
      </c>
      <c r="U316" s="16" t="n">
        <v>25</v>
      </c>
      <c r="V316" s="16" t="n">
        <v>17.998461719684</v>
      </c>
      <c r="W316" s="16" t="n">
        <v>551.65625</v>
      </c>
      <c r="X316" s="16" t="n">
        <v>11.90625</v>
      </c>
      <c r="Y316" s="16" t="n">
        <v>11.90625</v>
      </c>
      <c r="Z316" s="16" t="n">
        <v>0</v>
      </c>
      <c r="AA316" s="16" t="n">
        <v>0</v>
      </c>
      <c r="AB316" s="16" t="n">
        <v>0</v>
      </c>
      <c r="AC316" s="16" t="n">
        <v>539.75</v>
      </c>
      <c r="AD316" s="16" t="n">
        <v>62.8878585948235</v>
      </c>
      <c r="AE316" s="16" t="n">
        <v>0</v>
      </c>
      <c r="AF316" s="16" t="n">
        <v>0</v>
      </c>
      <c r="AG316" s="16" t="n">
        <v>62.8878585948235</v>
      </c>
      <c r="AH316" s="16" t="n">
        <v>3.33203563518166</v>
      </c>
      <c r="AI316" s="16" t="n">
        <v>3.33203563518166</v>
      </c>
      <c r="AJ316" s="16" t="n">
        <v>0.569166666666667</v>
      </c>
      <c r="AK316" s="16" t="n">
        <v>1.20833333333333</v>
      </c>
      <c r="AL316" s="16" t="n">
        <v>0.416666666666667</v>
      </c>
      <c r="AM316" s="16" t="n">
        <v>0</v>
      </c>
      <c r="AN316" s="16" t="n">
        <v>665.256858594824</v>
      </c>
      <c r="AO316" s="16" t="n">
        <v>0</v>
      </c>
      <c r="AP316" s="16" t="n">
        <v>62.8878585948235</v>
      </c>
      <c r="AQ316" s="14" t="n">
        <v>230.912141405177</v>
      </c>
      <c r="AR316" s="14" t="s">
        <v>594</v>
      </c>
      <c r="AS316" s="29" t="n">
        <v>46327</v>
      </c>
      <c r="AT316" s="14" t="n">
        <v>202.436477893904</v>
      </c>
      <c r="AU316" s="17" t="n">
        <v>3.28624991659597</v>
      </c>
      <c r="AV316" s="17" t="n">
        <v>4.41988223869102</v>
      </c>
      <c r="AW316" s="16" t="n">
        <v>0</v>
      </c>
      <c r="AX316" s="14" t="s">
        <v>257</v>
      </c>
      <c r="AY316" s="14" t="s">
        <v>257</v>
      </c>
      <c r="AZ316" s="14" t="s">
        <v>455</v>
      </c>
      <c r="BA316" s="14" t="s">
        <v>259</v>
      </c>
      <c r="BB316" s="14" t="s">
        <v>609</v>
      </c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</row>
    <row r="317" customFormat="false" ht="15" hidden="false" customHeight="false" outlineLevel="0" collapsed="false">
      <c r="C317" s="14" t="s">
        <v>295</v>
      </c>
      <c r="D317" s="14" t="s">
        <v>296</v>
      </c>
      <c r="E317" s="14" t="s">
        <v>334</v>
      </c>
      <c r="F317" s="14" t="s">
        <v>335</v>
      </c>
      <c r="G317" s="29" t="n">
        <v>46784</v>
      </c>
      <c r="H317" s="29" t="n">
        <v>46873</v>
      </c>
      <c r="I317" s="14" t="s">
        <v>328</v>
      </c>
      <c r="J317" s="14" t="s">
        <v>255</v>
      </c>
      <c r="K317" s="14" t="n">
        <v>90</v>
      </c>
      <c r="L317" s="16" t="n">
        <v>452.444064998389</v>
      </c>
      <c r="M317" s="30" t="n">
        <v>28.8693217195837</v>
      </c>
      <c r="N317" s="16" t="n">
        <v>63.1848168341226</v>
      </c>
      <c r="O317" s="16" t="n">
        <v>-25.4689813068893</v>
      </c>
      <c r="P317" s="16" t="n">
        <v>-9.42895888180832</v>
      </c>
      <c r="Q317" s="16" t="n">
        <v>-2.58122943313587</v>
      </c>
      <c r="R317" s="16" t="n">
        <v>-15.8355422749436</v>
      </c>
      <c r="S317" s="16" t="n">
        <v>0</v>
      </c>
      <c r="T317" s="16" t="n">
        <v>35.3390862442348</v>
      </c>
      <c r="U317" s="16" t="n">
        <v>17.998461719684</v>
      </c>
      <c r="V317" s="16" t="n">
        <v>19.4430127772468</v>
      </c>
      <c r="W317" s="16" t="n">
        <v>539.75</v>
      </c>
      <c r="X317" s="16" t="n">
        <v>11.90625</v>
      </c>
      <c r="Y317" s="16" t="n">
        <v>11.90625</v>
      </c>
      <c r="Z317" s="16" t="n">
        <v>0</v>
      </c>
      <c r="AA317" s="16" t="n">
        <v>0</v>
      </c>
      <c r="AB317" s="16" t="n">
        <v>0</v>
      </c>
      <c r="AC317" s="16" t="n">
        <v>527.84375</v>
      </c>
      <c r="AD317" s="16" t="n">
        <v>62.8878585948235</v>
      </c>
      <c r="AE317" s="16" t="n">
        <v>0</v>
      </c>
      <c r="AF317" s="16" t="n">
        <v>5.58592613702644</v>
      </c>
      <c r="AG317" s="16" t="n">
        <v>57.3019324577971</v>
      </c>
      <c r="AH317" s="16" t="n">
        <v>9.8198590496455</v>
      </c>
      <c r="AI317" s="16" t="n">
        <v>9.8198590496455</v>
      </c>
      <c r="AJ317" s="16" t="n">
        <v>1.7075</v>
      </c>
      <c r="AK317" s="16" t="n">
        <v>3.625</v>
      </c>
      <c r="AL317" s="16" t="n">
        <v>1.25</v>
      </c>
      <c r="AM317" s="16" t="n">
        <v>0</v>
      </c>
      <c r="AN317" s="16" t="n">
        <v>647.764682457797</v>
      </c>
      <c r="AO317" s="16" t="n">
        <v>0</v>
      </c>
      <c r="AP317" s="16" t="n">
        <v>62.8878585948235</v>
      </c>
      <c r="AQ317" s="14" t="n">
        <v>236.498067542203</v>
      </c>
      <c r="AR317" s="14" t="s">
        <v>594</v>
      </c>
      <c r="AS317" s="29" t="n">
        <v>46327</v>
      </c>
      <c r="AT317" s="14" t="n">
        <v>211.971207714838</v>
      </c>
      <c r="AU317" s="17" t="n">
        <v>3.05590881630125</v>
      </c>
      <c r="AV317" s="17" t="n">
        <v>4.94062513043862</v>
      </c>
      <c r="AW317" s="16" t="n">
        <v>0</v>
      </c>
      <c r="AX317" s="14" t="s">
        <v>257</v>
      </c>
      <c r="AY317" s="14" t="s">
        <v>257</v>
      </c>
      <c r="AZ317" s="14" t="s">
        <v>455</v>
      </c>
      <c r="BA317" s="14" t="s">
        <v>259</v>
      </c>
      <c r="BB317" s="14" t="s">
        <v>610</v>
      </c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</row>
    <row r="318" customFormat="false" ht="15" hidden="false" customHeight="false" outlineLevel="0" collapsed="false">
      <c r="C318" s="14" t="s">
        <v>295</v>
      </c>
      <c r="D318" s="14" t="s">
        <v>296</v>
      </c>
      <c r="E318" s="14" t="s">
        <v>337</v>
      </c>
      <c r="F318" s="14" t="s">
        <v>335</v>
      </c>
      <c r="G318" s="29" t="n">
        <v>46874</v>
      </c>
      <c r="H318" s="29" t="n">
        <v>46965</v>
      </c>
      <c r="I318" s="14" t="s">
        <v>328</v>
      </c>
      <c r="J318" s="14" t="s">
        <v>271</v>
      </c>
      <c r="K318" s="14" t="n">
        <v>92</v>
      </c>
      <c r="L318" s="16" t="n">
        <v>495.235855453629</v>
      </c>
      <c r="M318" s="30" t="n">
        <v>27.6901735836919</v>
      </c>
      <c r="N318" s="16" t="n">
        <v>63.3212208911272</v>
      </c>
      <c r="O318" s="16" t="n">
        <v>-27.8778167751957</v>
      </c>
      <c r="P318" s="16" t="n">
        <v>-8.86085102898288</v>
      </c>
      <c r="Q318" s="16" t="n">
        <v>-1.89394252465263</v>
      </c>
      <c r="R318" s="16" t="n">
        <v>-17.333254940877</v>
      </c>
      <c r="S318" s="16" t="n">
        <v>0</v>
      </c>
      <c r="T318" s="16" t="n">
        <v>35.2331723966147</v>
      </c>
      <c r="U318" s="16" t="n">
        <v>19.4430127772468</v>
      </c>
      <c r="V318" s="16" t="n">
        <v>19.5120961603872</v>
      </c>
      <c r="W318" s="16" t="n">
        <v>527.84375</v>
      </c>
      <c r="X318" s="16" t="n">
        <v>11.90625</v>
      </c>
      <c r="Y318" s="16" t="n">
        <v>11.90625</v>
      </c>
      <c r="Z318" s="16" t="n">
        <v>0</v>
      </c>
      <c r="AA318" s="16" t="n">
        <v>0</v>
      </c>
      <c r="AB318" s="16" t="n">
        <v>0</v>
      </c>
      <c r="AC318" s="16" t="n">
        <v>515.9375</v>
      </c>
      <c r="AD318" s="16" t="n">
        <v>57.3019324577971</v>
      </c>
      <c r="AE318" s="16" t="n">
        <v>0</v>
      </c>
      <c r="AF318" s="16" t="n">
        <v>7.16005118973176</v>
      </c>
      <c r="AG318" s="16" t="n">
        <v>50.1418812680653</v>
      </c>
      <c r="AH318" s="16" t="n">
        <v>9.5152878237425</v>
      </c>
      <c r="AI318" s="16" t="n">
        <v>9.5152878237425</v>
      </c>
      <c r="AJ318" s="16" t="n">
        <v>1.7075</v>
      </c>
      <c r="AK318" s="16" t="n">
        <v>3.625</v>
      </c>
      <c r="AL318" s="16" t="n">
        <v>1.25</v>
      </c>
      <c r="AM318" s="16" t="n">
        <v>0</v>
      </c>
      <c r="AN318" s="16" t="n">
        <v>628.698381268065</v>
      </c>
      <c r="AO318" s="16" t="n">
        <v>0</v>
      </c>
      <c r="AP318" s="16" t="n">
        <v>56.5102007943733</v>
      </c>
      <c r="AQ318" s="14" t="n">
        <v>243.658118731935</v>
      </c>
      <c r="AR318" s="14" t="s">
        <v>594</v>
      </c>
      <c r="AS318" s="29" t="n">
        <v>46327</v>
      </c>
      <c r="AT318" s="14" t="n">
        <v>218.81914246316</v>
      </c>
      <c r="AU318" s="17" t="n">
        <v>2.87314160082641</v>
      </c>
      <c r="AV318" s="17" t="n">
        <v>5.40826000923548</v>
      </c>
      <c r="AW318" s="16" t="n">
        <v>0</v>
      </c>
      <c r="AX318" s="14" t="s">
        <v>257</v>
      </c>
      <c r="AY318" s="14" t="s">
        <v>257</v>
      </c>
      <c r="AZ318" s="14" t="s">
        <v>455</v>
      </c>
      <c r="BA318" s="14" t="s">
        <v>259</v>
      </c>
      <c r="BB318" s="14" t="s">
        <v>611</v>
      </c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</row>
    <row r="319" customFormat="false" ht="15" hidden="false" customHeight="false" outlineLevel="0" collapsed="false">
      <c r="C319" s="14" t="s">
        <v>295</v>
      </c>
      <c r="D319" s="14" t="s">
        <v>296</v>
      </c>
      <c r="E319" s="14" t="s">
        <v>339</v>
      </c>
      <c r="F319" s="14" t="s">
        <v>335</v>
      </c>
      <c r="G319" s="29" t="n">
        <v>46966</v>
      </c>
      <c r="H319" s="29" t="n">
        <v>47057</v>
      </c>
      <c r="I319" s="14" t="s">
        <v>328</v>
      </c>
      <c r="J319" s="14" t="s">
        <v>288</v>
      </c>
      <c r="K319" s="14" t="n">
        <v>92</v>
      </c>
      <c r="L319" s="16" t="n">
        <v>489.809262468454</v>
      </c>
      <c r="M319" s="30" t="n">
        <v>27.9159174302794</v>
      </c>
      <c r="N319" s="16" t="n">
        <v>63.7330869889932</v>
      </c>
      <c r="O319" s="16" t="n">
        <v>-27.5723430028742</v>
      </c>
      <c r="P319" s="16" t="n">
        <v>-9.04018599652975</v>
      </c>
      <c r="Q319" s="16" t="n">
        <v>-0.929886228966411</v>
      </c>
      <c r="R319" s="16" t="n">
        <v>-17.1433241863959</v>
      </c>
      <c r="S319" s="16" t="n">
        <v>0</v>
      </c>
      <c r="T319" s="16" t="n">
        <v>36.6196905771011</v>
      </c>
      <c r="U319" s="16" t="n">
        <v>19.5120961603872</v>
      </c>
      <c r="V319" s="16" t="n">
        <v>20.0852761841611</v>
      </c>
      <c r="W319" s="16" t="n">
        <v>515.9375</v>
      </c>
      <c r="X319" s="16" t="n">
        <v>11.90625</v>
      </c>
      <c r="Y319" s="16" t="n">
        <v>11.90625</v>
      </c>
      <c r="Z319" s="16" t="n">
        <v>0</v>
      </c>
      <c r="AA319" s="16" t="n">
        <v>0</v>
      </c>
      <c r="AB319" s="16" t="n">
        <v>0</v>
      </c>
      <c r="AC319" s="16" t="n">
        <v>504.03125</v>
      </c>
      <c r="AD319" s="16" t="n">
        <v>50.1418812680653</v>
      </c>
      <c r="AE319" s="16" t="n">
        <v>0</v>
      </c>
      <c r="AF319" s="16" t="n">
        <v>8.36905537808574</v>
      </c>
      <c r="AG319" s="16" t="n">
        <v>41.7728258899796</v>
      </c>
      <c r="AH319" s="16" t="n">
        <v>9.18870517524156</v>
      </c>
      <c r="AI319" s="16" t="n">
        <v>9.18870517524156</v>
      </c>
      <c r="AJ319" s="16" t="n">
        <v>1.7075</v>
      </c>
      <c r="AK319" s="16" t="n">
        <v>3.625</v>
      </c>
      <c r="AL319" s="16" t="n">
        <v>1.25</v>
      </c>
      <c r="AM319" s="16" t="n">
        <v>0</v>
      </c>
      <c r="AN319" s="16" t="n">
        <v>608.42307588998</v>
      </c>
      <c r="AO319" s="16" t="n">
        <v>0</v>
      </c>
      <c r="AP319" s="16" t="n">
        <v>48.7127606433771</v>
      </c>
      <c r="AQ319" s="14" t="n">
        <v>252.02717411002</v>
      </c>
      <c r="AR319" s="14" t="s">
        <v>594</v>
      </c>
      <c r="AS319" s="29" t="n">
        <v>46327</v>
      </c>
      <c r="AT319" s="14" t="n">
        <v>222.262547194441</v>
      </c>
      <c r="AU319" s="17" t="n">
        <v>2.73740710511031</v>
      </c>
      <c r="AV319" s="17" t="n">
        <v>5.75239280537709</v>
      </c>
      <c r="AW319" s="16" t="n">
        <v>0</v>
      </c>
      <c r="AX319" s="14" t="s">
        <v>257</v>
      </c>
      <c r="AY319" s="14" t="s">
        <v>257</v>
      </c>
      <c r="AZ319" s="14" t="s">
        <v>455</v>
      </c>
      <c r="BA319" s="14" t="s">
        <v>259</v>
      </c>
      <c r="BB319" s="14" t="s">
        <v>612</v>
      </c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</row>
    <row r="320" customFormat="false" ht="15" hidden="false" customHeight="false" outlineLevel="0" collapsed="false">
      <c r="C320" s="14" t="s">
        <v>295</v>
      </c>
      <c r="D320" s="14" t="s">
        <v>296</v>
      </c>
      <c r="E320" s="14" t="s">
        <v>341</v>
      </c>
      <c r="F320" s="14" t="s">
        <v>335</v>
      </c>
      <c r="G320" s="29" t="n">
        <v>47058</v>
      </c>
      <c r="H320" s="29" t="n">
        <v>47149</v>
      </c>
      <c r="I320" s="14" t="s">
        <v>342</v>
      </c>
      <c r="J320" s="14" t="s">
        <v>303</v>
      </c>
      <c r="K320" s="14" t="n">
        <v>92</v>
      </c>
      <c r="L320" s="16" t="n">
        <v>400.00399710014</v>
      </c>
      <c r="M320" s="30" t="n">
        <v>22.9096754759419</v>
      </c>
      <c r="N320" s="16" t="n">
        <v>32.0226218946362</v>
      </c>
      <c r="O320" s="16" t="n">
        <v>-22.5170250047611</v>
      </c>
      <c r="P320" s="16" t="n">
        <v>-2.37639922246877</v>
      </c>
      <c r="Q320" s="16" t="n">
        <v>0.00152518350547968</v>
      </c>
      <c r="R320" s="16" t="n">
        <v>-14.0001398985049</v>
      </c>
      <c r="S320" s="16" t="n">
        <v>0</v>
      </c>
      <c r="T320" s="16" t="n">
        <v>15.647607957168</v>
      </c>
      <c r="U320" s="16" t="n">
        <v>20.0852761841611</v>
      </c>
      <c r="V320" s="16" t="n">
        <v>8.39489555421115</v>
      </c>
      <c r="W320" s="16" t="n">
        <v>504.03125</v>
      </c>
      <c r="X320" s="16" t="n">
        <v>11.90625</v>
      </c>
      <c r="Y320" s="16" t="n">
        <v>11.90625</v>
      </c>
      <c r="Z320" s="16" t="n">
        <v>0</v>
      </c>
      <c r="AA320" s="16" t="n">
        <v>0</v>
      </c>
      <c r="AB320" s="16" t="n">
        <v>0</v>
      </c>
      <c r="AC320" s="16" t="n">
        <v>492.125</v>
      </c>
      <c r="AD320" s="16" t="n">
        <v>41.7728258899796</v>
      </c>
      <c r="AE320" s="16" t="n">
        <v>0</v>
      </c>
      <c r="AF320" s="16" t="n">
        <v>0</v>
      </c>
      <c r="AG320" s="16" t="n">
        <v>41.7728258899796</v>
      </c>
      <c r="AH320" s="16" t="n">
        <v>8.93223858711791</v>
      </c>
      <c r="AI320" s="16" t="n">
        <v>8.93223858711791</v>
      </c>
      <c r="AJ320" s="16" t="n">
        <v>1.6245</v>
      </c>
      <c r="AK320" s="16" t="n">
        <v>3.625</v>
      </c>
      <c r="AL320" s="16" t="n">
        <v>1.25</v>
      </c>
      <c r="AM320" s="16" t="n">
        <v>0</v>
      </c>
      <c r="AN320" s="16" t="n">
        <v>596.51682588998</v>
      </c>
      <c r="AO320" s="16" t="n">
        <v>0</v>
      </c>
      <c r="AP320" s="16" t="n">
        <v>41.7728258899796</v>
      </c>
      <c r="AQ320" s="14" t="n">
        <v>252.02717411002</v>
      </c>
      <c r="AR320" s="14" t="s">
        <v>594</v>
      </c>
      <c r="AS320" s="29" t="n">
        <v>46327</v>
      </c>
      <c r="AT320" s="14" t="n">
        <v>222.261746608879</v>
      </c>
      <c r="AU320" s="17" t="n">
        <v>2.68384836793211</v>
      </c>
      <c r="AV320" s="17" t="n">
        <v>5.93392804311393</v>
      </c>
      <c r="AW320" s="16" t="n">
        <v>0</v>
      </c>
      <c r="AX320" s="14" t="s">
        <v>257</v>
      </c>
      <c r="AY320" s="14" t="s">
        <v>257</v>
      </c>
      <c r="AZ320" s="14" t="s">
        <v>455</v>
      </c>
      <c r="BA320" s="14" t="s">
        <v>259</v>
      </c>
      <c r="BB320" s="14" t="s">
        <v>613</v>
      </c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</row>
    <row r="321" customFormat="false" ht="15" hidden="false" customHeight="false" outlineLevel="0" collapsed="false">
      <c r="C321" s="14" t="s">
        <v>295</v>
      </c>
      <c r="D321" s="14" t="s">
        <v>296</v>
      </c>
      <c r="E321" s="14" t="s">
        <v>344</v>
      </c>
      <c r="F321" s="14" t="s">
        <v>335</v>
      </c>
      <c r="G321" s="29" t="n">
        <v>47150</v>
      </c>
      <c r="H321" s="29" t="n">
        <v>47238</v>
      </c>
      <c r="I321" s="14" t="s">
        <v>342</v>
      </c>
      <c r="J321" s="14" t="s">
        <v>255</v>
      </c>
      <c r="K321" s="14" t="n">
        <v>89</v>
      </c>
      <c r="L321" s="16" t="n">
        <v>452.432753896764</v>
      </c>
      <c r="M321" s="30" t="n">
        <v>28.8693217195837</v>
      </c>
      <c r="N321" s="16" t="n">
        <v>63.1832372137017</v>
      </c>
      <c r="O321" s="16" t="n">
        <v>-25.4683445823567</v>
      </c>
      <c r="P321" s="16" t="n">
        <v>-9.42872315783627</v>
      </c>
      <c r="Q321" s="16" t="n">
        <v>0.00165732670964526</v>
      </c>
      <c r="R321" s="16" t="n">
        <v>-15.8351463863867</v>
      </c>
      <c r="S321" s="16" t="n">
        <v>0</v>
      </c>
      <c r="T321" s="16" t="n">
        <v>37.9210249961884</v>
      </c>
      <c r="U321" s="16" t="n">
        <v>8.39489555421115</v>
      </c>
      <c r="V321" s="16" t="n">
        <v>19.1734921195316</v>
      </c>
      <c r="W321" s="16" t="n">
        <v>492.125</v>
      </c>
      <c r="X321" s="16" t="n">
        <v>11.90625</v>
      </c>
      <c r="Y321" s="16" t="n">
        <v>11.90625</v>
      </c>
      <c r="Z321" s="16" t="n">
        <v>0</v>
      </c>
      <c r="AA321" s="16" t="n">
        <v>0</v>
      </c>
      <c r="AB321" s="16" t="n">
        <v>0</v>
      </c>
      <c r="AC321" s="16" t="n">
        <v>480.21875</v>
      </c>
      <c r="AD321" s="16" t="n">
        <v>41.7728258899796</v>
      </c>
      <c r="AE321" s="16" t="n">
        <v>0</v>
      </c>
      <c r="AF321" s="16" t="n">
        <v>0</v>
      </c>
      <c r="AG321" s="16" t="n">
        <v>41.7728258899796</v>
      </c>
      <c r="AH321" s="16" t="n">
        <v>8.73667843086791</v>
      </c>
      <c r="AI321" s="16" t="n">
        <v>8.73667843086791</v>
      </c>
      <c r="AJ321" s="16" t="n">
        <v>1.6245</v>
      </c>
      <c r="AK321" s="16" t="n">
        <v>3.625</v>
      </c>
      <c r="AL321" s="16" t="n">
        <v>1.25</v>
      </c>
      <c r="AM321" s="16" t="n">
        <v>0</v>
      </c>
      <c r="AN321" s="16" t="n">
        <v>584.61057588998</v>
      </c>
      <c r="AO321" s="16" t="n">
        <v>0</v>
      </c>
      <c r="AP321" s="16" t="n">
        <v>41.7728258899796</v>
      </c>
      <c r="AQ321" s="14" t="n">
        <v>252.02717411002</v>
      </c>
      <c r="AR321" s="14" t="s">
        <v>594</v>
      </c>
      <c r="AS321" s="29" t="n">
        <v>46327</v>
      </c>
      <c r="AT321" s="14" t="n">
        <v>222.260166988458</v>
      </c>
      <c r="AU321" s="17" t="n">
        <v>2.6302984642333</v>
      </c>
      <c r="AV321" s="17" t="n">
        <v>6.11059623452625</v>
      </c>
      <c r="AW321" s="16" t="n">
        <v>0</v>
      </c>
      <c r="AX321" s="14" t="s">
        <v>257</v>
      </c>
      <c r="AY321" s="14" t="s">
        <v>257</v>
      </c>
      <c r="AZ321" s="14" t="s">
        <v>455</v>
      </c>
      <c r="BA321" s="14" t="s">
        <v>259</v>
      </c>
      <c r="BB321" s="14" t="s">
        <v>614</v>
      </c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</row>
    <row r="322" customFormat="false" ht="15" hidden="false" customHeight="false" outlineLevel="0" collapsed="false">
      <c r="C322" s="14" t="s">
        <v>295</v>
      </c>
      <c r="D322" s="14" t="s">
        <v>296</v>
      </c>
      <c r="E322" s="14" t="s">
        <v>346</v>
      </c>
      <c r="F322" s="14" t="s">
        <v>335</v>
      </c>
      <c r="G322" s="29" t="n">
        <v>47239</v>
      </c>
      <c r="H322" s="29" t="n">
        <v>47330</v>
      </c>
      <c r="I322" s="14" t="s">
        <v>342</v>
      </c>
      <c r="J322" s="14" t="s">
        <v>271</v>
      </c>
      <c r="K322" s="14" t="n">
        <v>92</v>
      </c>
      <c r="L322" s="16" t="n">
        <v>495.223474557243</v>
      </c>
      <c r="M322" s="30" t="n">
        <v>27.6901735836919</v>
      </c>
      <c r="N322" s="16" t="n">
        <v>63.3196378606049</v>
      </c>
      <c r="O322" s="16" t="n">
        <v>-27.8771198297763</v>
      </c>
      <c r="P322" s="16" t="n">
        <v>-8.86062950770715</v>
      </c>
      <c r="Q322" s="16" t="n">
        <v>0.00182875074658537</v>
      </c>
      <c r="R322" s="16" t="n">
        <v>-17.3328216095035</v>
      </c>
      <c r="S322" s="16" t="n">
        <v>0</v>
      </c>
      <c r="T322" s="16" t="n">
        <v>37.1280154941409</v>
      </c>
      <c r="U322" s="16" t="n">
        <v>19.1734921195316</v>
      </c>
      <c r="V322" s="16" t="n">
        <v>20.5267239239261</v>
      </c>
      <c r="W322" s="16" t="n">
        <v>480.21875</v>
      </c>
      <c r="X322" s="16" t="n">
        <v>11.90625</v>
      </c>
      <c r="Y322" s="16" t="n">
        <v>11.90625</v>
      </c>
      <c r="Z322" s="16" t="n">
        <v>0</v>
      </c>
      <c r="AA322" s="16" t="n">
        <v>0</v>
      </c>
      <c r="AB322" s="16" t="n">
        <v>0</v>
      </c>
      <c r="AC322" s="16" t="n">
        <v>468.3125</v>
      </c>
      <c r="AD322" s="16" t="n">
        <v>41.7728258899796</v>
      </c>
      <c r="AE322" s="16" t="n">
        <v>0</v>
      </c>
      <c r="AF322" s="16" t="n">
        <v>8.909457138838</v>
      </c>
      <c r="AG322" s="16" t="n">
        <v>32.8633687511415</v>
      </c>
      <c r="AH322" s="16" t="n">
        <v>8.45957655090832</v>
      </c>
      <c r="AI322" s="16" t="n">
        <v>8.45957655090832</v>
      </c>
      <c r="AJ322" s="16" t="n">
        <v>1.6245</v>
      </c>
      <c r="AK322" s="16" t="n">
        <v>3.625</v>
      </c>
      <c r="AL322" s="16" t="n">
        <v>1.25</v>
      </c>
      <c r="AM322" s="16" t="n">
        <v>0</v>
      </c>
      <c r="AN322" s="16" t="n">
        <v>563.794868751142</v>
      </c>
      <c r="AO322" s="16" t="n">
        <v>0</v>
      </c>
      <c r="AP322" s="16" t="n">
        <v>40.2435460802531</v>
      </c>
      <c r="AQ322" s="14" t="n">
        <v>260.936631248859</v>
      </c>
      <c r="AR322" s="14" t="s">
        <v>594</v>
      </c>
      <c r="AS322" s="29" t="n">
        <v>46327</v>
      </c>
      <c r="AT322" s="14" t="n">
        <v>222.258583957936</v>
      </c>
      <c r="AU322" s="17" t="n">
        <v>2.53666184095658</v>
      </c>
      <c r="AV322" s="17" t="n">
        <v>6.29321100940491</v>
      </c>
      <c r="AW322" s="16" t="n">
        <v>0</v>
      </c>
      <c r="AX322" s="14" t="s">
        <v>257</v>
      </c>
      <c r="AY322" s="14" t="s">
        <v>257</v>
      </c>
      <c r="AZ322" s="14" t="s">
        <v>455</v>
      </c>
      <c r="BA322" s="14" t="s">
        <v>259</v>
      </c>
      <c r="BB322" s="14" t="s">
        <v>615</v>
      </c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</row>
    <row r="323" customFormat="false" ht="15" hidden="false" customHeight="false" outlineLevel="0" collapsed="false">
      <c r="C323" s="14" t="s">
        <v>295</v>
      </c>
      <c r="D323" s="14" t="s">
        <v>296</v>
      </c>
      <c r="E323" s="14" t="s">
        <v>348</v>
      </c>
      <c r="F323" s="14" t="s">
        <v>335</v>
      </c>
      <c r="G323" s="29" t="n">
        <v>47331</v>
      </c>
      <c r="H323" s="29" t="n">
        <v>47422</v>
      </c>
      <c r="I323" s="14" t="s">
        <v>342</v>
      </c>
      <c r="J323" s="14" t="s">
        <v>288</v>
      </c>
      <c r="K323" s="14" t="n">
        <v>92</v>
      </c>
      <c r="L323" s="16" t="n">
        <v>489.797017236892</v>
      </c>
      <c r="M323" s="30" t="n">
        <v>27.9159174302794</v>
      </c>
      <c r="N323" s="16" t="n">
        <v>63.7314936618185</v>
      </c>
      <c r="O323" s="16" t="n">
        <v>-27.5716536942991</v>
      </c>
      <c r="P323" s="16" t="n">
        <v>-9.03995999187983</v>
      </c>
      <c r="Q323" s="16" t="n">
        <v>0.00180593326573163</v>
      </c>
      <c r="R323" s="16" t="n">
        <v>-17.1428956032912</v>
      </c>
      <c r="S323" s="16" t="n">
        <v>0</v>
      </c>
      <c r="T323" s="16" t="n">
        <v>37.5504439999131</v>
      </c>
      <c r="U323" s="16" t="n">
        <v>20.5267239239261</v>
      </c>
      <c r="V323" s="16" t="n">
        <v>20.7917746199627</v>
      </c>
      <c r="W323" s="16" t="n">
        <v>468.3125</v>
      </c>
      <c r="X323" s="16" t="n">
        <v>11.90625</v>
      </c>
      <c r="Y323" s="16" t="n">
        <v>11.90625</v>
      </c>
      <c r="Z323" s="16" t="n">
        <v>0</v>
      </c>
      <c r="AA323" s="16" t="n">
        <v>0</v>
      </c>
      <c r="AB323" s="16" t="n">
        <v>0</v>
      </c>
      <c r="AC323" s="16" t="n">
        <v>456.40625</v>
      </c>
      <c r="AD323" s="16" t="n">
        <v>32.8633687511415</v>
      </c>
      <c r="AE323" s="16" t="n">
        <v>0</v>
      </c>
      <c r="AF323" s="16" t="n">
        <v>10.786205545666</v>
      </c>
      <c r="AG323" s="16" t="n">
        <v>22.0771632054755</v>
      </c>
      <c r="AH323" s="16" t="n">
        <v>8.09343775821051</v>
      </c>
      <c r="AI323" s="16" t="n">
        <v>8.09343775821051</v>
      </c>
      <c r="AJ323" s="16" t="n">
        <v>1.6245</v>
      </c>
      <c r="AK323" s="16" t="n">
        <v>3.625</v>
      </c>
      <c r="AL323" s="16" t="n">
        <v>1.25</v>
      </c>
      <c r="AM323" s="16" t="n">
        <v>0</v>
      </c>
      <c r="AN323" s="16" t="n">
        <v>541.102413205476</v>
      </c>
      <c r="AO323" s="16" t="n">
        <v>0</v>
      </c>
      <c r="AP323" s="16" t="n">
        <v>29.7216676351858</v>
      </c>
      <c r="AQ323" s="14" t="n">
        <v>271.722836794525</v>
      </c>
      <c r="AR323" s="14" t="s">
        <v>594</v>
      </c>
      <c r="AS323" s="29" t="n">
        <v>46327</v>
      </c>
      <c r="AT323" s="14" t="n">
        <v>222.256990630761</v>
      </c>
      <c r="AU323" s="17" t="n">
        <v>2.43457995030814</v>
      </c>
      <c r="AV323" s="17" t="n">
        <v>6.49457765858843</v>
      </c>
      <c r="AW323" s="16" t="n">
        <v>0</v>
      </c>
      <c r="AX323" s="14" t="s">
        <v>257</v>
      </c>
      <c r="AY323" s="14" t="s">
        <v>257</v>
      </c>
      <c r="AZ323" s="14" t="s">
        <v>455</v>
      </c>
      <c r="BA323" s="14" t="s">
        <v>259</v>
      </c>
      <c r="BB323" s="14" t="s">
        <v>616</v>
      </c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</row>
    <row r="324" customFormat="false" ht="15" hidden="false" customHeight="false" outlineLevel="0" collapsed="false">
      <c r="C324" s="14" t="s">
        <v>295</v>
      </c>
      <c r="D324" s="14" t="s">
        <v>296</v>
      </c>
      <c r="E324" s="14" t="s">
        <v>350</v>
      </c>
      <c r="F324" s="14" t="s">
        <v>335</v>
      </c>
      <c r="G324" s="29" t="n">
        <v>47423</v>
      </c>
      <c r="H324" s="29" t="n">
        <v>47514</v>
      </c>
      <c r="I324" s="14" t="s">
        <v>351</v>
      </c>
      <c r="J324" s="14" t="s">
        <v>303</v>
      </c>
      <c r="K324" s="14" t="n">
        <v>92</v>
      </c>
      <c r="L324" s="16" t="n">
        <v>399.993997000213</v>
      </c>
      <c r="M324" s="30" t="n">
        <v>22.9096754759419</v>
      </c>
      <c r="N324" s="16" t="n">
        <v>32.0218213290888</v>
      </c>
      <c r="O324" s="16" t="n">
        <v>-22.516462079136</v>
      </c>
      <c r="P324" s="16" t="n">
        <v>-2.37633981248821</v>
      </c>
      <c r="Q324" s="16" t="n">
        <v>0.00152514537589204</v>
      </c>
      <c r="R324" s="16" t="n">
        <v>-13.9997898950074</v>
      </c>
      <c r="S324" s="16" t="n">
        <v>0</v>
      </c>
      <c r="T324" s="16" t="n">
        <v>15.6472167669691</v>
      </c>
      <c r="U324" s="16" t="n">
        <v>20.7917746199627</v>
      </c>
      <c r="V324" s="16" t="n">
        <v>10.2947446844069</v>
      </c>
      <c r="W324" s="16" t="n">
        <v>456.40625</v>
      </c>
      <c r="X324" s="16" t="n">
        <v>11.90625</v>
      </c>
      <c r="Y324" s="16" t="n">
        <v>11.90625</v>
      </c>
      <c r="Z324" s="16" t="n">
        <v>0</v>
      </c>
      <c r="AA324" s="16" t="n">
        <v>0</v>
      </c>
      <c r="AB324" s="16" t="n">
        <v>0</v>
      </c>
      <c r="AC324" s="16" t="n">
        <v>444.5</v>
      </c>
      <c r="AD324" s="16" t="n">
        <v>22.0771632054755</v>
      </c>
      <c r="AE324" s="16" t="n">
        <v>0</v>
      </c>
      <c r="AF324" s="16" t="n">
        <v>0</v>
      </c>
      <c r="AG324" s="16" t="n">
        <v>22.0771632054755</v>
      </c>
      <c r="AH324" s="16" t="n">
        <v>7.82649670252494</v>
      </c>
      <c r="AI324" s="16" t="n">
        <v>7.82649670252494</v>
      </c>
      <c r="AJ324" s="16" t="n">
        <v>1.5365</v>
      </c>
      <c r="AK324" s="16" t="n">
        <v>3.625</v>
      </c>
      <c r="AL324" s="16" t="n">
        <v>1.25</v>
      </c>
      <c r="AM324" s="16" t="n">
        <v>0</v>
      </c>
      <c r="AN324" s="16" t="n">
        <v>529.196163205476</v>
      </c>
      <c r="AO324" s="16" t="n">
        <v>0</v>
      </c>
      <c r="AP324" s="16" t="n">
        <v>22.0771632054755</v>
      </c>
      <c r="AQ324" s="14" t="n">
        <v>271.722836794525</v>
      </c>
      <c r="AR324" s="14" t="s">
        <v>594</v>
      </c>
      <c r="AS324" s="29" t="n">
        <v>46327</v>
      </c>
      <c r="AT324" s="14" t="n">
        <v>222.256190065214</v>
      </c>
      <c r="AU324" s="17" t="n">
        <v>2.38101878309981</v>
      </c>
      <c r="AV324" s="17" t="n">
        <v>6.71140592582493</v>
      </c>
      <c r="AW324" s="16" t="n">
        <v>0</v>
      </c>
      <c r="AX324" s="14" t="s">
        <v>257</v>
      </c>
      <c r="AY324" s="14" t="s">
        <v>257</v>
      </c>
      <c r="AZ324" s="14" t="s">
        <v>455</v>
      </c>
      <c r="BA324" s="14" t="s">
        <v>259</v>
      </c>
      <c r="BB324" s="14" t="s">
        <v>617</v>
      </c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</row>
    <row r="325" customFormat="false" ht="15" hidden="false" customHeight="false" outlineLevel="0" collapsed="false">
      <c r="C325" s="14" t="s">
        <v>295</v>
      </c>
      <c r="D325" s="14" t="s">
        <v>296</v>
      </c>
      <c r="E325" s="14" t="s">
        <v>353</v>
      </c>
      <c r="F325" s="14" t="s">
        <v>335</v>
      </c>
      <c r="G325" s="29" t="n">
        <v>47515</v>
      </c>
      <c r="H325" s="29" t="n">
        <v>47603</v>
      </c>
      <c r="I325" s="14" t="s">
        <v>351</v>
      </c>
      <c r="J325" s="14" t="s">
        <v>255</v>
      </c>
      <c r="K325" s="14" t="n">
        <v>89</v>
      </c>
      <c r="L325" s="16" t="n">
        <v>452.421443077917</v>
      </c>
      <c r="M325" s="30" t="n">
        <v>28.8693217195837</v>
      </c>
      <c r="N325" s="16" t="n">
        <v>63.1816576327714</v>
      </c>
      <c r="O325" s="16" t="n">
        <v>-25.4677078737421</v>
      </c>
      <c r="P325" s="16" t="n">
        <v>-9.42848743975732</v>
      </c>
      <c r="Q325" s="16" t="n">
        <v>0.00165728527647751</v>
      </c>
      <c r="R325" s="16" t="n">
        <v>-15.8347505077271</v>
      </c>
      <c r="S325" s="16" t="n">
        <v>0</v>
      </c>
      <c r="T325" s="16" t="n">
        <v>37.9200769705635</v>
      </c>
      <c r="U325" s="16" t="n">
        <v>10.2947446844069</v>
      </c>
      <c r="V325" s="16" t="n">
        <v>21.0812334360852</v>
      </c>
      <c r="W325" s="16" t="n">
        <v>444.5</v>
      </c>
      <c r="X325" s="16" t="n">
        <v>11.90625</v>
      </c>
      <c r="Y325" s="16" t="n">
        <v>11.90625</v>
      </c>
      <c r="Z325" s="16" t="n">
        <v>0</v>
      </c>
      <c r="AA325" s="16" t="n">
        <v>0</v>
      </c>
      <c r="AB325" s="16" t="n">
        <v>0</v>
      </c>
      <c r="AC325" s="16" t="n">
        <v>432.59375</v>
      </c>
      <c r="AD325" s="16" t="n">
        <v>22.0771632054755</v>
      </c>
      <c r="AE325" s="16" t="n">
        <v>0</v>
      </c>
      <c r="AF325" s="16" t="n">
        <v>1.19471325521851</v>
      </c>
      <c r="AG325" s="16" t="n">
        <v>20.882449950257</v>
      </c>
      <c r="AH325" s="16" t="n">
        <v>7.62112496366664</v>
      </c>
      <c r="AI325" s="16" t="n">
        <v>7.62112496366664</v>
      </c>
      <c r="AJ325" s="16" t="n">
        <v>1.5365</v>
      </c>
      <c r="AK325" s="16" t="n">
        <v>3.625</v>
      </c>
      <c r="AL325" s="16" t="n">
        <v>1.25</v>
      </c>
      <c r="AM325" s="16" t="n">
        <v>0</v>
      </c>
      <c r="AN325" s="16" t="n">
        <v>516.095199950257</v>
      </c>
      <c r="AO325" s="16" t="n">
        <v>0</v>
      </c>
      <c r="AP325" s="16" t="n">
        <v>22.0771632054755</v>
      </c>
      <c r="AQ325" s="14" t="n">
        <v>272.917550049743</v>
      </c>
      <c r="AR325" s="14" t="s">
        <v>594</v>
      </c>
      <c r="AS325" s="29" t="n">
        <v>46327</v>
      </c>
      <c r="AT325" s="14" t="n">
        <v>222.254610484284</v>
      </c>
      <c r="AU325" s="17" t="n">
        <v>2.32208996171421</v>
      </c>
      <c r="AV325" s="17" t="n">
        <v>6.94531854478644</v>
      </c>
      <c r="AW325" s="16" t="n">
        <v>0</v>
      </c>
      <c r="AX325" s="14" t="s">
        <v>257</v>
      </c>
      <c r="AY325" s="14" t="s">
        <v>257</v>
      </c>
      <c r="AZ325" s="14" t="s">
        <v>455</v>
      </c>
      <c r="BA325" s="14" t="s">
        <v>259</v>
      </c>
      <c r="BB325" s="14" t="s">
        <v>618</v>
      </c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</row>
    <row r="326" customFormat="false" ht="15" hidden="false" customHeight="false" outlineLevel="0" collapsed="false">
      <c r="C326" s="14" t="s">
        <v>295</v>
      </c>
      <c r="D326" s="14" t="s">
        <v>296</v>
      </c>
      <c r="E326" s="14" t="s">
        <v>355</v>
      </c>
      <c r="F326" s="14" t="s">
        <v>335</v>
      </c>
      <c r="G326" s="29" t="n">
        <v>47604</v>
      </c>
      <c r="H326" s="29" t="n">
        <v>47695</v>
      </c>
      <c r="I326" s="14" t="s">
        <v>351</v>
      </c>
      <c r="J326" s="14" t="s">
        <v>271</v>
      </c>
      <c r="K326" s="14" t="n">
        <v>92</v>
      </c>
      <c r="L326" s="16" t="n">
        <v>495.211093970379</v>
      </c>
      <c r="M326" s="30" t="n">
        <v>27.6901735836919</v>
      </c>
      <c r="N326" s="16" t="n">
        <v>63.3180548696584</v>
      </c>
      <c r="O326" s="16" t="n">
        <v>-27.8764229017806</v>
      </c>
      <c r="P326" s="16" t="n">
        <v>-8.86040799196946</v>
      </c>
      <c r="Q326" s="16" t="n">
        <v>0.00182870502781671</v>
      </c>
      <c r="R326" s="16" t="n">
        <v>-17.3323882889633</v>
      </c>
      <c r="S326" s="16" t="n">
        <v>0</v>
      </c>
      <c r="T326" s="16" t="n">
        <v>37.1270872937535</v>
      </c>
      <c r="U326" s="16" t="n">
        <v>21.0812334360852</v>
      </c>
      <c r="V326" s="16" t="n">
        <v>20.9458503189761</v>
      </c>
      <c r="W326" s="16" t="n">
        <v>432.59375</v>
      </c>
      <c r="X326" s="16" t="n">
        <v>11.90625</v>
      </c>
      <c r="Y326" s="16" t="n">
        <v>11.90625</v>
      </c>
      <c r="Z326" s="16" t="n">
        <v>0</v>
      </c>
      <c r="AA326" s="16" t="n">
        <v>0</v>
      </c>
      <c r="AB326" s="16" t="n">
        <v>0</v>
      </c>
      <c r="AC326" s="16" t="n">
        <v>420.6875</v>
      </c>
      <c r="AD326" s="16" t="n">
        <v>20.882449950257</v>
      </c>
      <c r="AE326" s="16" t="n">
        <v>0</v>
      </c>
      <c r="AF326" s="16" t="n">
        <v>11.6456724038288</v>
      </c>
      <c r="AG326" s="16" t="n">
        <v>9.23677754642827</v>
      </c>
      <c r="AH326" s="16" t="n">
        <v>7.29904800703376</v>
      </c>
      <c r="AI326" s="16" t="n">
        <v>7.29904800703376</v>
      </c>
      <c r="AJ326" s="16" t="n">
        <v>1.5365</v>
      </c>
      <c r="AK326" s="16" t="n">
        <v>3.625</v>
      </c>
      <c r="AL326" s="16" t="n">
        <v>1.25</v>
      </c>
      <c r="AM326" s="16" t="n">
        <v>0</v>
      </c>
      <c r="AN326" s="16" t="n">
        <v>492.543277546428</v>
      </c>
      <c r="AO326" s="16" t="n">
        <v>0</v>
      </c>
      <c r="AP326" s="16" t="n">
        <v>17.0349370444025</v>
      </c>
      <c r="AQ326" s="14" t="n">
        <v>284.563222453572</v>
      </c>
      <c r="AR326" s="14" t="s">
        <v>594</v>
      </c>
      <c r="AS326" s="29" t="n">
        <v>46327</v>
      </c>
      <c r="AT326" s="14" t="n">
        <v>222.253027493337</v>
      </c>
      <c r="AU326" s="17" t="n">
        <v>2.2161375397291</v>
      </c>
      <c r="AV326" s="17" t="n">
        <v>7.20662299855644</v>
      </c>
      <c r="AW326" s="16" t="n">
        <v>0</v>
      </c>
      <c r="AX326" s="14" t="s">
        <v>257</v>
      </c>
      <c r="AY326" s="14" t="s">
        <v>257</v>
      </c>
      <c r="AZ326" s="14" t="s">
        <v>455</v>
      </c>
      <c r="BA326" s="14" t="s">
        <v>259</v>
      </c>
      <c r="BB326" s="14" t="s">
        <v>619</v>
      </c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</row>
    <row r="327" customFormat="false" ht="15" hidden="false" customHeight="false" outlineLevel="0" collapsed="false">
      <c r="C327" s="14" t="s">
        <v>295</v>
      </c>
      <c r="D327" s="14" t="s">
        <v>296</v>
      </c>
      <c r="E327" s="14" t="s">
        <v>357</v>
      </c>
      <c r="F327" s="14" t="s">
        <v>335</v>
      </c>
      <c r="G327" s="29" t="n">
        <v>47696</v>
      </c>
      <c r="H327" s="29" t="n">
        <v>47787</v>
      </c>
      <c r="I327" s="14" t="s">
        <v>351</v>
      </c>
      <c r="J327" s="14" t="s">
        <v>288</v>
      </c>
      <c r="K327" s="14" t="n">
        <v>92</v>
      </c>
      <c r="L327" s="16" t="n">
        <v>489.784772311461</v>
      </c>
      <c r="M327" s="30" t="n">
        <v>27.9159174302794</v>
      </c>
      <c r="N327" s="16" t="n">
        <v>63.7299003744769</v>
      </c>
      <c r="O327" s="16" t="n">
        <v>-27.5709644029568</v>
      </c>
      <c r="P327" s="16" t="n">
        <v>-9.03973399288004</v>
      </c>
      <c r="Q327" s="16" t="n">
        <v>0.00180588811739999</v>
      </c>
      <c r="R327" s="16" t="n">
        <v>-17.1424670309011</v>
      </c>
      <c r="S327" s="16" t="n">
        <v>0</v>
      </c>
      <c r="T327" s="16" t="n">
        <v>37.5495052388131</v>
      </c>
      <c r="U327" s="16" t="n">
        <v>20.9458503189761</v>
      </c>
      <c r="V327" s="16" t="n">
        <v>24.0095749740076</v>
      </c>
      <c r="W327" s="16" t="n">
        <v>420.6875</v>
      </c>
      <c r="X327" s="16" t="n">
        <v>11.90625</v>
      </c>
      <c r="Y327" s="16" t="n">
        <v>11.90625</v>
      </c>
      <c r="Z327" s="16" t="n">
        <v>0</v>
      </c>
      <c r="AA327" s="16" t="n">
        <v>0</v>
      </c>
      <c r="AB327" s="16" t="n">
        <v>0</v>
      </c>
      <c r="AC327" s="16" t="n">
        <v>408.78125</v>
      </c>
      <c r="AD327" s="16" t="n">
        <v>9.23677754642827</v>
      </c>
      <c r="AE327" s="16" t="n">
        <v>0</v>
      </c>
      <c r="AF327" s="16" t="n">
        <v>9.23677754642827</v>
      </c>
      <c r="AG327" s="16" t="n">
        <v>0</v>
      </c>
      <c r="AH327" s="16" t="n">
        <v>6.93125303735336</v>
      </c>
      <c r="AI327" s="16" t="n">
        <v>6.93125303735336</v>
      </c>
      <c r="AJ327" s="16" t="n">
        <v>1.5365</v>
      </c>
      <c r="AK327" s="16" t="n">
        <v>3.625</v>
      </c>
      <c r="AL327" s="16" t="n">
        <v>1.25</v>
      </c>
      <c r="AM327" s="16" t="n">
        <v>0</v>
      </c>
      <c r="AN327" s="16" t="n">
        <v>471.40025</v>
      </c>
      <c r="AO327" s="16" t="n">
        <v>0</v>
      </c>
      <c r="AP327" s="16" t="n">
        <v>5.25452615422892</v>
      </c>
      <c r="AQ327" s="14" t="n">
        <v>293.8</v>
      </c>
      <c r="AR327" s="14" t="s">
        <v>594</v>
      </c>
      <c r="AS327" s="29" t="n">
        <v>46327</v>
      </c>
      <c r="AT327" s="14" t="n">
        <v>222.251434205996</v>
      </c>
      <c r="AU327" s="17" t="n">
        <v>2.12102230828836</v>
      </c>
      <c r="AV327" s="17" t="n">
        <v>7.48878000571024</v>
      </c>
      <c r="AW327" s="16" t="n">
        <v>0</v>
      </c>
      <c r="AX327" s="14" t="s">
        <v>257</v>
      </c>
      <c r="AY327" s="14" t="s">
        <v>257</v>
      </c>
      <c r="AZ327" s="14" t="s">
        <v>455</v>
      </c>
      <c r="BA327" s="14" t="s">
        <v>259</v>
      </c>
      <c r="BB327" s="14" t="s">
        <v>620</v>
      </c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</row>
    <row r="328" customFormat="false" ht="15" hidden="false" customHeight="false" outlineLevel="0" collapsed="false">
      <c r="C328" s="14" t="s">
        <v>295</v>
      </c>
      <c r="D328" s="14" t="s">
        <v>296</v>
      </c>
      <c r="E328" s="14" t="s">
        <v>359</v>
      </c>
      <c r="F328" s="14" t="s">
        <v>335</v>
      </c>
      <c r="G328" s="29" t="n">
        <v>47788</v>
      </c>
      <c r="H328" s="29" t="n">
        <v>47879</v>
      </c>
      <c r="I328" s="14" t="s">
        <v>360</v>
      </c>
      <c r="J328" s="14" t="s">
        <v>303</v>
      </c>
      <c r="K328" s="14" t="n">
        <v>92</v>
      </c>
      <c r="L328" s="16" t="n">
        <v>399.983997150288</v>
      </c>
      <c r="M328" s="30" t="n">
        <v>22.9096754759419</v>
      </c>
      <c r="N328" s="16" t="n">
        <v>32.0210207835556</v>
      </c>
      <c r="O328" s="16" t="n">
        <v>-22.515899167584</v>
      </c>
      <c r="P328" s="16" t="n">
        <v>-2.3762804039929</v>
      </c>
      <c r="Q328" s="16" t="n">
        <v>0.00152510724725765</v>
      </c>
      <c r="R328" s="16" t="n">
        <v>-13.9994399002601</v>
      </c>
      <c r="S328" s="16" t="n">
        <v>0</v>
      </c>
      <c r="T328" s="16" t="n">
        <v>15.6468255865499</v>
      </c>
      <c r="U328" s="16" t="n">
        <v>24.0095749740076</v>
      </c>
      <c r="V328" s="16" t="n">
        <v>14.6570118886825</v>
      </c>
      <c r="W328" s="16" t="n">
        <v>408.78125</v>
      </c>
      <c r="X328" s="16" t="n">
        <v>11.90625</v>
      </c>
      <c r="Y328" s="16" t="n">
        <v>11.90625</v>
      </c>
      <c r="Z328" s="16" t="n">
        <v>0</v>
      </c>
      <c r="AA328" s="16" t="n">
        <v>396.875</v>
      </c>
      <c r="AB328" s="16" t="n">
        <v>0</v>
      </c>
      <c r="AC328" s="16" t="n">
        <v>396.875</v>
      </c>
      <c r="AD328" s="16" t="n">
        <v>0</v>
      </c>
      <c r="AE328" s="16" t="n">
        <v>0</v>
      </c>
      <c r="AF328" s="16" t="n">
        <v>0</v>
      </c>
      <c r="AG328" s="16" t="n">
        <v>0</v>
      </c>
      <c r="AH328" s="16" t="n">
        <v>6.681638671875</v>
      </c>
      <c r="AI328" s="16" t="n">
        <v>6.681638671875</v>
      </c>
      <c r="AJ328" s="16" t="n">
        <v>1.5365</v>
      </c>
      <c r="AK328" s="16" t="n">
        <v>3.625</v>
      </c>
      <c r="AL328" s="16" t="n">
        <v>1.25</v>
      </c>
      <c r="AM328" s="16" t="n">
        <v>0</v>
      </c>
      <c r="AN328" s="16" t="n">
        <v>459.494</v>
      </c>
      <c r="AO328" s="16" t="n">
        <v>0</v>
      </c>
      <c r="AP328" s="16" t="n">
        <v>0</v>
      </c>
      <c r="AQ328" s="14" t="n">
        <v>0</v>
      </c>
      <c r="AR328" s="14" t="s">
        <v>594</v>
      </c>
      <c r="AS328" s="29" t="n">
        <v>46327</v>
      </c>
      <c r="AT328" s="14" t="n">
        <v>222.250633660462</v>
      </c>
      <c r="AU328" s="17" t="n">
        <v>2.06745867236527</v>
      </c>
      <c r="AV328" s="17" t="n">
        <v>7.7892310606509</v>
      </c>
      <c r="AW328" s="16" t="n">
        <v>396.875</v>
      </c>
      <c r="AX328" s="14" t="s">
        <v>361</v>
      </c>
      <c r="AY328" s="14" t="s">
        <v>257</v>
      </c>
      <c r="AZ328" s="14" t="s">
        <v>455</v>
      </c>
      <c r="BA328" s="14" t="s">
        <v>259</v>
      </c>
      <c r="BB328" s="14" t="s">
        <v>621</v>
      </c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</row>
    <row r="329" customFormat="false" ht="15" hidden="false" customHeight="false" outlineLevel="0" collapsed="false">
      <c r="C329" s="14" t="s">
        <v>299</v>
      </c>
      <c r="D329" s="14" t="s">
        <v>300</v>
      </c>
      <c r="E329" s="14" t="s">
        <v>252</v>
      </c>
      <c r="F329" s="14" t="s">
        <v>253</v>
      </c>
      <c r="G329" s="29" t="n">
        <v>46054</v>
      </c>
      <c r="H329" s="29" t="n">
        <v>46081</v>
      </c>
      <c r="I329" s="14" t="s">
        <v>254</v>
      </c>
      <c r="J329" s="14" t="s">
        <v>255</v>
      </c>
      <c r="K329" s="14" t="n">
        <v>28</v>
      </c>
      <c r="L329" s="16" t="n">
        <v>38.45966848425</v>
      </c>
      <c r="M329" s="30" t="n">
        <v>28.8693217195837</v>
      </c>
      <c r="N329" s="16" t="n">
        <v>3.92874040828301</v>
      </c>
      <c r="O329" s="16" t="n">
        <v>-8.4900849345702</v>
      </c>
      <c r="P329" s="16" t="n">
        <v>-0.440942187491901</v>
      </c>
      <c r="Q329" s="16" t="n">
        <v>-18.4515796935303</v>
      </c>
      <c r="R329" s="16" t="n">
        <v>-1.34608839694875</v>
      </c>
      <c r="S329" s="16" t="n">
        <v>-0.32</v>
      </c>
      <c r="T329" s="16" t="n">
        <v>-16.629869869688</v>
      </c>
      <c r="U329" s="16" t="n">
        <v>25</v>
      </c>
      <c r="V329" s="16" t="n">
        <v>25</v>
      </c>
      <c r="W329" s="16" t="n">
        <v>635</v>
      </c>
      <c r="X329" s="16" t="n">
        <v>0</v>
      </c>
      <c r="Y329" s="16" t="n">
        <v>0</v>
      </c>
      <c r="Z329" s="16" t="n">
        <v>0</v>
      </c>
      <c r="AA329" s="16" t="n">
        <v>0</v>
      </c>
      <c r="AB329" s="16" t="n">
        <v>0</v>
      </c>
      <c r="AC329" s="16" t="n">
        <v>635</v>
      </c>
      <c r="AD329" s="16" t="n">
        <v>29.89771875</v>
      </c>
      <c r="AE329" s="16" t="n">
        <v>23.7841938031328</v>
      </c>
      <c r="AF329" s="16" t="n">
        <v>0</v>
      </c>
      <c r="AG329" s="16" t="n">
        <v>53.6819125531328</v>
      </c>
      <c r="AH329" s="16" t="n">
        <v>4.83340726677822</v>
      </c>
      <c r="AI329" s="16" t="n">
        <v>4.83340726677822</v>
      </c>
      <c r="AJ329" s="16" t="n">
        <v>0.695916666666667</v>
      </c>
      <c r="AK329" s="16" t="n">
        <v>1.20833333333333</v>
      </c>
      <c r="AL329" s="16" t="n">
        <v>0.416666666666667</v>
      </c>
      <c r="AM329" s="16" t="n">
        <v>0</v>
      </c>
      <c r="AN329" s="16" t="n">
        <v>751.300912553133</v>
      </c>
      <c r="AO329" s="16" t="n">
        <v>240.118087446867</v>
      </c>
      <c r="AP329" s="16" t="n">
        <v>53.6819125531328</v>
      </c>
      <c r="AQ329" s="14" t="n">
        <v>240.118087446867</v>
      </c>
      <c r="AR329" s="14" t="s">
        <v>256</v>
      </c>
      <c r="AS329" s="29"/>
      <c r="AT329" s="14"/>
      <c r="AU329" s="17"/>
      <c r="AV329" s="17"/>
      <c r="AW329" s="16" t="n">
        <v>0</v>
      </c>
      <c r="AX329" s="14" t="s">
        <v>257</v>
      </c>
      <c r="AY329" s="14" t="s">
        <v>257</v>
      </c>
      <c r="AZ329" s="14" t="s">
        <v>258</v>
      </c>
      <c r="BA329" s="14" t="s">
        <v>259</v>
      </c>
      <c r="BB329" s="14" t="s">
        <v>622</v>
      </c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</row>
    <row r="330" customFormat="false" ht="15" hidden="false" customHeight="false" outlineLevel="0" collapsed="false">
      <c r="C330" s="14" t="s">
        <v>299</v>
      </c>
      <c r="D330" s="14" t="s">
        <v>300</v>
      </c>
      <c r="E330" s="14" t="s">
        <v>261</v>
      </c>
      <c r="F330" s="14" t="s">
        <v>253</v>
      </c>
      <c r="G330" s="29" t="n">
        <v>46082</v>
      </c>
      <c r="H330" s="29" t="n">
        <v>46112</v>
      </c>
      <c r="I330" s="14" t="s">
        <v>254</v>
      </c>
      <c r="J330" s="14" t="s">
        <v>255</v>
      </c>
      <c r="K330" s="14" t="n">
        <v>31</v>
      </c>
      <c r="L330" s="16" t="n">
        <v>96.149171210625</v>
      </c>
      <c r="M330" s="30" t="n">
        <v>28.8693217195837</v>
      </c>
      <c r="N330" s="16" t="n">
        <v>9.82185102070751</v>
      </c>
      <c r="O330" s="16" t="n">
        <v>-8.4900849345702</v>
      </c>
      <c r="P330" s="16" t="n">
        <v>-1.10235546872975</v>
      </c>
      <c r="Q330" s="16" t="n">
        <v>-46.1289492338258</v>
      </c>
      <c r="R330" s="16" t="n">
        <v>-3.36522099237188</v>
      </c>
      <c r="S330" s="16" t="n">
        <v>-0.8</v>
      </c>
      <c r="T330" s="16" t="n">
        <v>-41.5746746742199</v>
      </c>
      <c r="U330" s="16" t="n">
        <v>25</v>
      </c>
      <c r="V330" s="16" t="n">
        <v>25</v>
      </c>
      <c r="W330" s="16" t="n">
        <v>635</v>
      </c>
      <c r="X330" s="16" t="n">
        <v>0</v>
      </c>
      <c r="Y330" s="16" t="n">
        <v>0</v>
      </c>
      <c r="Z330" s="16" t="n">
        <v>0</v>
      </c>
      <c r="AA330" s="16" t="n">
        <v>0</v>
      </c>
      <c r="AB330" s="16" t="n">
        <v>0</v>
      </c>
      <c r="AC330" s="16" t="n">
        <v>635</v>
      </c>
      <c r="AD330" s="16" t="n">
        <v>53.6819125531328</v>
      </c>
      <c r="AE330" s="16" t="n">
        <v>48.9888590505631</v>
      </c>
      <c r="AF330" s="16" t="n">
        <v>0</v>
      </c>
      <c r="AG330" s="16" t="n">
        <v>102.670771603696</v>
      </c>
      <c r="AH330" s="16" t="n">
        <v>5.09326770967658</v>
      </c>
      <c r="AI330" s="16" t="n">
        <v>5.09326770967658</v>
      </c>
      <c r="AJ330" s="16" t="n">
        <v>0.695916666666667</v>
      </c>
      <c r="AK330" s="16" t="n">
        <v>1.20833333333333</v>
      </c>
      <c r="AL330" s="16" t="n">
        <v>0.416666666666667</v>
      </c>
      <c r="AM330" s="16" t="n">
        <v>0</v>
      </c>
      <c r="AN330" s="16" t="n">
        <v>800.289771603696</v>
      </c>
      <c r="AO330" s="16" t="n">
        <v>191.129228396304</v>
      </c>
      <c r="AP330" s="16" t="n">
        <v>102.670771603696</v>
      </c>
      <c r="AQ330" s="14" t="n">
        <v>191.129228396304</v>
      </c>
      <c r="AR330" s="14" t="s">
        <v>256</v>
      </c>
      <c r="AS330" s="29"/>
      <c r="AT330" s="14"/>
      <c r="AU330" s="17"/>
      <c r="AV330" s="17"/>
      <c r="AW330" s="16" t="n">
        <v>0</v>
      </c>
      <c r="AX330" s="14" t="s">
        <v>257</v>
      </c>
      <c r="AY330" s="14" t="s">
        <v>257</v>
      </c>
      <c r="AZ330" s="14" t="s">
        <v>258</v>
      </c>
      <c r="BA330" s="14" t="s">
        <v>259</v>
      </c>
      <c r="BB330" s="14" t="s">
        <v>623</v>
      </c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</row>
    <row r="331" customFormat="false" ht="15" hidden="false" customHeight="false" outlineLevel="0" collapsed="false">
      <c r="C331" s="14" t="s">
        <v>299</v>
      </c>
      <c r="D331" s="14" t="s">
        <v>300</v>
      </c>
      <c r="E331" s="14" t="s">
        <v>266</v>
      </c>
      <c r="F331" s="14" t="s">
        <v>253</v>
      </c>
      <c r="G331" s="29" t="n">
        <v>46113</v>
      </c>
      <c r="H331" s="29" t="n">
        <v>46142</v>
      </c>
      <c r="I331" s="14" t="s">
        <v>254</v>
      </c>
      <c r="J331" s="14" t="s">
        <v>255</v>
      </c>
      <c r="K331" s="14" t="n">
        <v>30</v>
      </c>
      <c r="L331" s="16" t="n">
        <v>249.987845147625</v>
      </c>
      <c r="M331" s="30" t="n">
        <v>28.8693217195837</v>
      </c>
      <c r="N331" s="16" t="n">
        <v>25.5368126538395</v>
      </c>
      <c r="O331" s="16" t="n">
        <v>-8.4900849345702</v>
      </c>
      <c r="P331" s="16" t="n">
        <v>-2.86612421869736</v>
      </c>
      <c r="Q331" s="16" t="n">
        <v>-119.935268007947</v>
      </c>
      <c r="R331" s="16" t="n">
        <v>-8.74957458016688</v>
      </c>
      <c r="S331" s="16" t="n">
        <v>-2.08</v>
      </c>
      <c r="T331" s="16" t="n">
        <v>-108.094154152972</v>
      </c>
      <c r="U331" s="16" t="n">
        <v>25</v>
      </c>
      <c r="V331" s="16" t="n">
        <v>25</v>
      </c>
      <c r="W331" s="16" t="n">
        <v>635</v>
      </c>
      <c r="X331" s="16" t="n">
        <v>11.90625</v>
      </c>
      <c r="Y331" s="16" t="n">
        <v>11.90625</v>
      </c>
      <c r="Z331" s="16" t="n">
        <v>0</v>
      </c>
      <c r="AA331" s="16" t="n">
        <v>0</v>
      </c>
      <c r="AB331" s="16" t="n">
        <v>0</v>
      </c>
      <c r="AC331" s="16" t="n">
        <v>623.09375</v>
      </c>
      <c r="AD331" s="16" t="n">
        <v>102.670771603696</v>
      </c>
      <c r="AE331" s="16" t="n">
        <v>128.004085601468</v>
      </c>
      <c r="AF331" s="16" t="n">
        <v>0</v>
      </c>
      <c r="AG331" s="16" t="n">
        <v>230.674857205164</v>
      </c>
      <c r="AH331" s="16" t="n">
        <v>5.68276478182971</v>
      </c>
      <c r="AI331" s="16" t="n">
        <v>5.68276478182971</v>
      </c>
      <c r="AJ331" s="16" t="n">
        <v>0.695916666666667</v>
      </c>
      <c r="AK331" s="16" t="n">
        <v>1.20833333333333</v>
      </c>
      <c r="AL331" s="16" t="n">
        <v>0.416666666666667</v>
      </c>
      <c r="AM331" s="16" t="n">
        <v>0</v>
      </c>
      <c r="AN331" s="16" t="n">
        <v>916.387607205164</v>
      </c>
      <c r="AO331" s="16" t="n">
        <v>63.125142794836</v>
      </c>
      <c r="AP331" s="16" t="n">
        <v>230.674857205164</v>
      </c>
      <c r="AQ331" s="14" t="n">
        <v>63.125142794836</v>
      </c>
      <c r="AR331" s="14" t="s">
        <v>256</v>
      </c>
      <c r="AS331" s="29"/>
      <c r="AT331" s="14"/>
      <c r="AU331" s="17"/>
      <c r="AV331" s="17"/>
      <c r="AW331" s="16" t="n">
        <v>0</v>
      </c>
      <c r="AX331" s="14" t="s">
        <v>257</v>
      </c>
      <c r="AY331" s="14" t="s">
        <v>257</v>
      </c>
      <c r="AZ331" s="14" t="s">
        <v>258</v>
      </c>
      <c r="BA331" s="14" t="s">
        <v>259</v>
      </c>
      <c r="BB331" s="14" t="s">
        <v>624</v>
      </c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</row>
    <row r="332" customFormat="false" ht="15" hidden="false" customHeight="false" outlineLevel="0" collapsed="false">
      <c r="C332" s="14" t="s">
        <v>299</v>
      </c>
      <c r="D332" s="14" t="s">
        <v>300</v>
      </c>
      <c r="E332" s="14" t="s">
        <v>270</v>
      </c>
      <c r="F332" s="14" t="s">
        <v>253</v>
      </c>
      <c r="G332" s="29" t="n">
        <v>46143</v>
      </c>
      <c r="H332" s="29" t="n">
        <v>46173</v>
      </c>
      <c r="I332" s="14" t="s">
        <v>254</v>
      </c>
      <c r="J332" s="14" t="s">
        <v>271</v>
      </c>
      <c r="K332" s="14" t="n">
        <v>31</v>
      </c>
      <c r="L332" s="16" t="n">
        <v>42.097152544875</v>
      </c>
      <c r="M332" s="30" t="n">
        <v>27.6901735836919</v>
      </c>
      <c r="N332" s="16" t="n">
        <v>3.80392968059394</v>
      </c>
      <c r="O332" s="16" t="n">
        <v>-9.2930702394357</v>
      </c>
      <c r="P332" s="16" t="n">
        <v>-0.35854919238446</v>
      </c>
      <c r="Q332" s="16" t="n">
        <v>1.60146836055032</v>
      </c>
      <c r="R332" s="16" t="n">
        <v>-1.47340033907063</v>
      </c>
      <c r="S332" s="16" t="n">
        <v>-0.25</v>
      </c>
      <c r="T332" s="16" t="n">
        <v>3.32344850968918</v>
      </c>
      <c r="U332" s="16" t="n">
        <v>25</v>
      </c>
      <c r="V332" s="16" t="n">
        <v>25</v>
      </c>
      <c r="W332" s="16" t="n">
        <v>623.09375</v>
      </c>
      <c r="X332" s="16" t="n">
        <v>0</v>
      </c>
      <c r="Y332" s="16" t="n">
        <v>0</v>
      </c>
      <c r="Z332" s="16" t="n">
        <v>0</v>
      </c>
      <c r="AA332" s="16" t="n">
        <v>0</v>
      </c>
      <c r="AB332" s="16" t="n">
        <v>0</v>
      </c>
      <c r="AC332" s="16" t="n">
        <v>623.09375</v>
      </c>
      <c r="AD332" s="16" t="n">
        <v>230.674857205164</v>
      </c>
      <c r="AE332" s="16" t="n">
        <v>5.11305683387571</v>
      </c>
      <c r="AF332" s="16" t="n">
        <v>0</v>
      </c>
      <c r="AG332" s="16" t="n">
        <v>235.78791403904</v>
      </c>
      <c r="AH332" s="16" t="n">
        <v>6.11558867689822</v>
      </c>
      <c r="AI332" s="16" t="n">
        <v>6.11558867689822</v>
      </c>
      <c r="AJ332" s="16" t="n">
        <v>0.695916666666667</v>
      </c>
      <c r="AK332" s="16" t="n">
        <v>1.20833333333333</v>
      </c>
      <c r="AL332" s="16" t="n">
        <v>0.416666666666667</v>
      </c>
      <c r="AM332" s="16" t="n">
        <v>0</v>
      </c>
      <c r="AN332" s="16" t="n">
        <v>921.50066403904</v>
      </c>
      <c r="AO332" s="16" t="n">
        <v>58.0120859609603</v>
      </c>
      <c r="AP332" s="16" t="n">
        <v>235.78791403904</v>
      </c>
      <c r="AQ332" s="14" t="n">
        <v>58.0120859609603</v>
      </c>
      <c r="AR332" s="14" t="s">
        <v>256</v>
      </c>
      <c r="AS332" s="29"/>
      <c r="AT332" s="14"/>
      <c r="AU332" s="17"/>
      <c r="AV332" s="17"/>
      <c r="AW332" s="16" t="n">
        <v>0</v>
      </c>
      <c r="AX332" s="14" t="s">
        <v>257</v>
      </c>
      <c r="AY332" s="14" t="s">
        <v>257</v>
      </c>
      <c r="AZ332" s="14" t="s">
        <v>258</v>
      </c>
      <c r="BA332" s="14" t="s">
        <v>259</v>
      </c>
      <c r="BB332" s="14" t="s">
        <v>625</v>
      </c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</row>
    <row r="333" customFormat="false" ht="15" hidden="false" customHeight="false" outlineLevel="0" collapsed="false">
      <c r="C333" s="14" t="s">
        <v>299</v>
      </c>
      <c r="D333" s="14" t="s">
        <v>300</v>
      </c>
      <c r="E333" s="14" t="s">
        <v>277</v>
      </c>
      <c r="F333" s="14" t="s">
        <v>253</v>
      </c>
      <c r="G333" s="29" t="n">
        <v>46174</v>
      </c>
      <c r="H333" s="29" t="n">
        <v>46203</v>
      </c>
      <c r="I333" s="14" t="s">
        <v>254</v>
      </c>
      <c r="J333" s="14" t="s">
        <v>271</v>
      </c>
      <c r="K333" s="14" t="n">
        <v>30</v>
      </c>
      <c r="L333" s="16" t="n">
        <v>105.242881362188</v>
      </c>
      <c r="M333" s="30" t="n">
        <v>27.6901735836919</v>
      </c>
      <c r="N333" s="16" t="n">
        <v>9.50982420148486</v>
      </c>
      <c r="O333" s="16" t="n">
        <v>-9.2930702394357</v>
      </c>
      <c r="P333" s="16" t="n">
        <v>-0.896372980961149</v>
      </c>
      <c r="Q333" s="16" t="n">
        <v>4.0036709013758</v>
      </c>
      <c r="R333" s="16" t="n">
        <v>-3.68350084767656</v>
      </c>
      <c r="S333" s="16" t="n">
        <v>-0.625</v>
      </c>
      <c r="T333" s="16" t="n">
        <v>8.30862127422294</v>
      </c>
      <c r="U333" s="16" t="n">
        <v>25</v>
      </c>
      <c r="V333" s="16" t="n">
        <v>25</v>
      </c>
      <c r="W333" s="16" t="n">
        <v>623.09375</v>
      </c>
      <c r="X333" s="16" t="n">
        <v>0</v>
      </c>
      <c r="Y333" s="16" t="n">
        <v>0</v>
      </c>
      <c r="Z333" s="16" t="n">
        <v>0</v>
      </c>
      <c r="AA333" s="16" t="n">
        <v>0</v>
      </c>
      <c r="AB333" s="16" t="n">
        <v>0</v>
      </c>
      <c r="AC333" s="16" t="n">
        <v>623.09375</v>
      </c>
      <c r="AD333" s="16" t="n">
        <v>235.78791403904</v>
      </c>
      <c r="AE333" s="16" t="n">
        <v>0.146665661756307</v>
      </c>
      <c r="AF333" s="16" t="n">
        <v>0</v>
      </c>
      <c r="AG333" s="16" t="n">
        <v>235.934579700796</v>
      </c>
      <c r="AH333" s="16" t="n">
        <v>6.13437026931258</v>
      </c>
      <c r="AI333" s="16" t="n">
        <v>6.13437026931258</v>
      </c>
      <c r="AJ333" s="16" t="n">
        <v>0.695916666666667</v>
      </c>
      <c r="AK333" s="16" t="n">
        <v>1.20833333333333</v>
      </c>
      <c r="AL333" s="16" t="n">
        <v>0.416666666666667</v>
      </c>
      <c r="AM333" s="16" t="n">
        <v>0</v>
      </c>
      <c r="AN333" s="16" t="n">
        <v>921.647329700796</v>
      </c>
      <c r="AO333" s="16" t="n">
        <v>57.865420299204</v>
      </c>
      <c r="AP333" s="16" t="n">
        <v>235.934579700796</v>
      </c>
      <c r="AQ333" s="14" t="n">
        <v>57.865420299204</v>
      </c>
      <c r="AR333" s="14" t="s">
        <v>256</v>
      </c>
      <c r="AS333" s="29"/>
      <c r="AT333" s="14"/>
      <c r="AU333" s="17"/>
      <c r="AV333" s="17"/>
      <c r="AW333" s="16" t="n">
        <v>0</v>
      </c>
      <c r="AX333" s="14" t="s">
        <v>257</v>
      </c>
      <c r="AY333" s="14" t="s">
        <v>257</v>
      </c>
      <c r="AZ333" s="14" t="s">
        <v>258</v>
      </c>
      <c r="BA333" s="14" t="s">
        <v>259</v>
      </c>
      <c r="BB333" s="14" t="s">
        <v>626</v>
      </c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</row>
    <row r="334" customFormat="false" ht="15" hidden="false" customHeight="false" outlineLevel="0" collapsed="false">
      <c r="C334" s="14" t="s">
        <v>299</v>
      </c>
      <c r="D334" s="14" t="s">
        <v>300</v>
      </c>
      <c r="E334" s="14" t="s">
        <v>282</v>
      </c>
      <c r="F334" s="14" t="s">
        <v>253</v>
      </c>
      <c r="G334" s="29" t="n">
        <v>46204</v>
      </c>
      <c r="H334" s="29" t="n">
        <v>46234</v>
      </c>
      <c r="I334" s="14" t="s">
        <v>254</v>
      </c>
      <c r="J334" s="14" t="s">
        <v>271</v>
      </c>
      <c r="K334" s="14" t="n">
        <v>31</v>
      </c>
      <c r="L334" s="16" t="n">
        <v>273.631491541688</v>
      </c>
      <c r="M334" s="30" t="n">
        <v>27.6901735836919</v>
      </c>
      <c r="N334" s="16" t="n">
        <v>24.7255429238606</v>
      </c>
      <c r="O334" s="16" t="n">
        <v>-9.2930702394357</v>
      </c>
      <c r="P334" s="16" t="n">
        <v>-2.33056975049899</v>
      </c>
      <c r="Q334" s="16" t="n">
        <v>10.4095443435771</v>
      </c>
      <c r="R334" s="16" t="n">
        <v>-9.57710220395906</v>
      </c>
      <c r="S334" s="16" t="n">
        <v>-1.625</v>
      </c>
      <c r="T334" s="16" t="n">
        <v>21.6024153129796</v>
      </c>
      <c r="U334" s="16" t="n">
        <v>25</v>
      </c>
      <c r="V334" s="16" t="n">
        <v>25</v>
      </c>
      <c r="W334" s="16" t="n">
        <v>623.09375</v>
      </c>
      <c r="X334" s="16" t="n">
        <v>11.90625</v>
      </c>
      <c r="Y334" s="16" t="n">
        <v>11.90625</v>
      </c>
      <c r="Z334" s="16" t="n">
        <v>0</v>
      </c>
      <c r="AA334" s="16" t="n">
        <v>0</v>
      </c>
      <c r="AB334" s="16" t="n">
        <v>0</v>
      </c>
      <c r="AC334" s="16" t="n">
        <v>611.1875</v>
      </c>
      <c r="AD334" s="16" t="n">
        <v>235.934579700796</v>
      </c>
      <c r="AE334" s="16" t="n">
        <v>0</v>
      </c>
      <c r="AF334" s="16" t="n">
        <v>1.28746722361838</v>
      </c>
      <c r="AG334" s="16" t="n">
        <v>234.647112477178</v>
      </c>
      <c r="AH334" s="16" t="n">
        <v>6.08778142269459</v>
      </c>
      <c r="AI334" s="16" t="n">
        <v>6.08778142269459</v>
      </c>
      <c r="AJ334" s="16" t="n">
        <v>0.695916666666667</v>
      </c>
      <c r="AK334" s="16" t="n">
        <v>1.20833333333333</v>
      </c>
      <c r="AL334" s="16" t="n">
        <v>0.416666666666667</v>
      </c>
      <c r="AM334" s="16" t="n">
        <v>0</v>
      </c>
      <c r="AN334" s="16" t="n">
        <v>908.453612477178</v>
      </c>
      <c r="AO334" s="16" t="n">
        <v>59.1528875228223</v>
      </c>
      <c r="AP334" s="16" t="n">
        <v>234.647112477178</v>
      </c>
      <c r="AQ334" s="14" t="n">
        <v>59.1528875228223</v>
      </c>
      <c r="AR334" s="14" t="s">
        <v>256</v>
      </c>
      <c r="AS334" s="29"/>
      <c r="AT334" s="14"/>
      <c r="AU334" s="17"/>
      <c r="AV334" s="17"/>
      <c r="AW334" s="16" t="n">
        <v>0</v>
      </c>
      <c r="AX334" s="14" t="s">
        <v>257</v>
      </c>
      <c r="AY334" s="14" t="s">
        <v>257</v>
      </c>
      <c r="AZ334" s="14" t="s">
        <v>258</v>
      </c>
      <c r="BA334" s="14" t="s">
        <v>259</v>
      </c>
      <c r="BB334" s="14" t="s">
        <v>627</v>
      </c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</row>
    <row r="335" customFormat="false" ht="15" hidden="false" customHeight="false" outlineLevel="0" collapsed="false">
      <c r="C335" s="14" t="s">
        <v>299</v>
      </c>
      <c r="D335" s="14" t="s">
        <v>300</v>
      </c>
      <c r="E335" s="14" t="s">
        <v>287</v>
      </c>
      <c r="F335" s="14" t="s">
        <v>253</v>
      </c>
      <c r="G335" s="29" t="n">
        <v>46235</v>
      </c>
      <c r="H335" s="29" t="n">
        <v>46265</v>
      </c>
      <c r="I335" s="14" t="s">
        <v>254</v>
      </c>
      <c r="J335" s="14" t="s">
        <v>288</v>
      </c>
      <c r="K335" s="14" t="n">
        <v>31</v>
      </c>
      <c r="L335" s="16" t="n">
        <v>41.63586907725</v>
      </c>
      <c r="M335" s="30" t="n">
        <v>27.9159174302794</v>
      </c>
      <c r="N335" s="16" t="n">
        <v>3.85623817944505</v>
      </c>
      <c r="O335" s="16" t="n">
        <v>-9.1912405572414</v>
      </c>
      <c r="P335" s="16" t="n">
        <v>-0.378117959337123</v>
      </c>
      <c r="Q335" s="16" t="n">
        <v>1.58095034901936</v>
      </c>
      <c r="R335" s="16" t="n">
        <v>-1.45725541770375</v>
      </c>
      <c r="S335" s="16" t="n">
        <v>-0.25</v>
      </c>
      <c r="T335" s="16" t="n">
        <v>3.35181515142353</v>
      </c>
      <c r="U335" s="16" t="n">
        <v>25</v>
      </c>
      <c r="V335" s="16" t="n">
        <v>25</v>
      </c>
      <c r="W335" s="16" t="n">
        <v>611.1875</v>
      </c>
      <c r="X335" s="16" t="n">
        <v>0</v>
      </c>
      <c r="Y335" s="16" t="n">
        <v>0</v>
      </c>
      <c r="Z335" s="16" t="n">
        <v>0</v>
      </c>
      <c r="AA335" s="16" t="n">
        <v>0</v>
      </c>
      <c r="AB335" s="16" t="n">
        <v>0</v>
      </c>
      <c r="AC335" s="16" t="n">
        <v>611.1875</v>
      </c>
      <c r="AD335" s="16" t="n">
        <v>234.647112477178</v>
      </c>
      <c r="AE335" s="16" t="n">
        <v>5.02772353547266</v>
      </c>
      <c r="AF335" s="16" t="n">
        <v>0</v>
      </c>
      <c r="AG335" s="16" t="n">
        <v>239.67483601265</v>
      </c>
      <c r="AH335" s="16" t="n">
        <v>6.05862202022952</v>
      </c>
      <c r="AI335" s="16" t="n">
        <v>6.05862202022952</v>
      </c>
      <c r="AJ335" s="16" t="n">
        <v>0.695916666666667</v>
      </c>
      <c r="AK335" s="16" t="n">
        <v>1.20833333333333</v>
      </c>
      <c r="AL335" s="16" t="n">
        <v>0.416666666666667</v>
      </c>
      <c r="AM335" s="16" t="n">
        <v>0</v>
      </c>
      <c r="AN335" s="16" t="n">
        <v>913.48133601265</v>
      </c>
      <c r="AO335" s="16" t="n">
        <v>54.1251639873497</v>
      </c>
      <c r="AP335" s="16" t="n">
        <v>239.67483601265</v>
      </c>
      <c r="AQ335" s="14" t="n">
        <v>54.1251639873497</v>
      </c>
      <c r="AR335" s="14" t="s">
        <v>256</v>
      </c>
      <c r="AS335" s="29"/>
      <c r="AT335" s="14"/>
      <c r="AU335" s="17"/>
      <c r="AV335" s="17"/>
      <c r="AW335" s="16" t="n">
        <v>0</v>
      </c>
      <c r="AX335" s="14" t="s">
        <v>257</v>
      </c>
      <c r="AY335" s="14" t="s">
        <v>257</v>
      </c>
      <c r="AZ335" s="14" t="s">
        <v>258</v>
      </c>
      <c r="BA335" s="14" t="s">
        <v>259</v>
      </c>
      <c r="BB335" s="14" t="s">
        <v>628</v>
      </c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</row>
    <row r="336" customFormat="false" ht="15" hidden="false" customHeight="false" outlineLevel="0" collapsed="false">
      <c r="C336" s="14" t="s">
        <v>299</v>
      </c>
      <c r="D336" s="14" t="s">
        <v>300</v>
      </c>
      <c r="E336" s="14" t="s">
        <v>293</v>
      </c>
      <c r="F336" s="14" t="s">
        <v>253</v>
      </c>
      <c r="G336" s="29" t="n">
        <v>46266</v>
      </c>
      <c r="H336" s="29" t="n">
        <v>46295</v>
      </c>
      <c r="I336" s="14" t="s">
        <v>254</v>
      </c>
      <c r="J336" s="14" t="s">
        <v>288</v>
      </c>
      <c r="K336" s="14" t="n">
        <v>30</v>
      </c>
      <c r="L336" s="16" t="n">
        <v>104.089672693125</v>
      </c>
      <c r="M336" s="30" t="n">
        <v>27.9159174302794</v>
      </c>
      <c r="N336" s="16" t="n">
        <v>9.64059544861262</v>
      </c>
      <c r="O336" s="16" t="n">
        <v>-9.1912405572414</v>
      </c>
      <c r="P336" s="16" t="n">
        <v>-0.945294898342807</v>
      </c>
      <c r="Q336" s="16" t="n">
        <v>3.95237587254839</v>
      </c>
      <c r="R336" s="16" t="n">
        <v>-3.64313854425938</v>
      </c>
      <c r="S336" s="16" t="n">
        <v>-0.625</v>
      </c>
      <c r="T336" s="16" t="n">
        <v>8.37953787855883</v>
      </c>
      <c r="U336" s="16" t="n">
        <v>25</v>
      </c>
      <c r="V336" s="16" t="n">
        <v>25</v>
      </c>
      <c r="W336" s="16" t="n">
        <v>611.1875</v>
      </c>
      <c r="X336" s="16" t="n">
        <v>0</v>
      </c>
      <c r="Y336" s="16" t="n">
        <v>0</v>
      </c>
      <c r="Z336" s="16" t="n">
        <v>0</v>
      </c>
      <c r="AA336" s="16" t="n">
        <v>0</v>
      </c>
      <c r="AB336" s="16" t="n">
        <v>0</v>
      </c>
      <c r="AC336" s="16" t="n">
        <v>611.1875</v>
      </c>
      <c r="AD336" s="16" t="n">
        <v>239.67483601265</v>
      </c>
      <c r="AE336" s="16" t="n">
        <v>0.0180183115159697</v>
      </c>
      <c r="AF336" s="16" t="n">
        <v>0</v>
      </c>
      <c r="AG336" s="16" t="n">
        <v>239.692854324166</v>
      </c>
      <c r="AH336" s="16" t="n">
        <v>6.07663952340813</v>
      </c>
      <c r="AI336" s="16" t="n">
        <v>6.07663952340813</v>
      </c>
      <c r="AJ336" s="16" t="n">
        <v>0.695916666666667</v>
      </c>
      <c r="AK336" s="16" t="n">
        <v>1.20833333333333</v>
      </c>
      <c r="AL336" s="16" t="n">
        <v>0.416666666666667</v>
      </c>
      <c r="AM336" s="16" t="n">
        <v>0</v>
      </c>
      <c r="AN336" s="16" t="n">
        <v>913.499354324166</v>
      </c>
      <c r="AO336" s="16" t="n">
        <v>54.1071456758337</v>
      </c>
      <c r="AP336" s="16" t="n">
        <v>239.692854324166</v>
      </c>
      <c r="AQ336" s="14" t="n">
        <v>54.1071456758337</v>
      </c>
      <c r="AR336" s="14" t="s">
        <v>256</v>
      </c>
      <c r="AS336" s="29"/>
      <c r="AT336" s="14"/>
      <c r="AU336" s="17"/>
      <c r="AV336" s="17"/>
      <c r="AW336" s="16" t="n">
        <v>0</v>
      </c>
      <c r="AX336" s="14" t="s">
        <v>257</v>
      </c>
      <c r="AY336" s="14" t="s">
        <v>257</v>
      </c>
      <c r="AZ336" s="14" t="s">
        <v>258</v>
      </c>
      <c r="BA336" s="14" t="s">
        <v>259</v>
      </c>
      <c r="BB336" s="14" t="s">
        <v>629</v>
      </c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</row>
    <row r="337" customFormat="false" ht="15" hidden="false" customHeight="false" outlineLevel="0" collapsed="false">
      <c r="C337" s="14" t="s">
        <v>299</v>
      </c>
      <c r="D337" s="14" t="s">
        <v>300</v>
      </c>
      <c r="E337" s="14" t="s">
        <v>297</v>
      </c>
      <c r="F337" s="14" t="s">
        <v>253</v>
      </c>
      <c r="G337" s="29" t="n">
        <v>46296</v>
      </c>
      <c r="H337" s="29" t="n">
        <v>46326</v>
      </c>
      <c r="I337" s="14" t="s">
        <v>254</v>
      </c>
      <c r="J337" s="14" t="s">
        <v>288</v>
      </c>
      <c r="K337" s="14" t="n">
        <v>31</v>
      </c>
      <c r="L337" s="16" t="n">
        <v>270.633149002125</v>
      </c>
      <c r="M337" s="30" t="n">
        <v>27.9159174302794</v>
      </c>
      <c r="N337" s="16" t="n">
        <v>25.0655481663928</v>
      </c>
      <c r="O337" s="16" t="n">
        <v>-9.1912405572414</v>
      </c>
      <c r="P337" s="16" t="n">
        <v>-2.4577667356913</v>
      </c>
      <c r="Q337" s="16" t="n">
        <v>10.2761772686258</v>
      </c>
      <c r="R337" s="16" t="n">
        <v>-9.47216021507438</v>
      </c>
      <c r="S337" s="16" t="n">
        <v>-1.625</v>
      </c>
      <c r="T337" s="16" t="n">
        <v>21.786798484253</v>
      </c>
      <c r="U337" s="16" t="n">
        <v>25</v>
      </c>
      <c r="V337" s="16" t="n">
        <v>25</v>
      </c>
      <c r="W337" s="16" t="n">
        <v>611.1875</v>
      </c>
      <c r="X337" s="16" t="n">
        <v>11.90625</v>
      </c>
      <c r="Y337" s="16" t="n">
        <v>11.90625</v>
      </c>
      <c r="Z337" s="16" t="n">
        <v>0</v>
      </c>
      <c r="AA337" s="16" t="n">
        <v>0</v>
      </c>
      <c r="AB337" s="16" t="n">
        <v>0</v>
      </c>
      <c r="AC337" s="16" t="n">
        <v>599.28125</v>
      </c>
      <c r="AD337" s="16" t="n">
        <v>239.692854324166</v>
      </c>
      <c r="AE337" s="16" t="n">
        <v>0</v>
      </c>
      <c r="AF337" s="16" t="n">
        <v>1.53090981194881</v>
      </c>
      <c r="AG337" s="16" t="n">
        <v>238.161944512217</v>
      </c>
      <c r="AH337" s="16" t="n">
        <v>6.02872200563747</v>
      </c>
      <c r="AI337" s="16" t="n">
        <v>6.02872200563747</v>
      </c>
      <c r="AJ337" s="16" t="n">
        <v>0.695916666666667</v>
      </c>
      <c r="AK337" s="16" t="n">
        <v>1.20833333333333</v>
      </c>
      <c r="AL337" s="16" t="n">
        <v>0.416666666666667</v>
      </c>
      <c r="AM337" s="16" t="n">
        <v>0</v>
      </c>
      <c r="AN337" s="16" t="n">
        <v>900.062194512218</v>
      </c>
      <c r="AO337" s="16" t="n">
        <v>55.6380554877825</v>
      </c>
      <c r="AP337" s="16" t="n">
        <v>238.161944512217</v>
      </c>
      <c r="AQ337" s="14" t="n">
        <v>55.6380554877825</v>
      </c>
      <c r="AR337" s="14" t="s">
        <v>372</v>
      </c>
      <c r="AS337" s="29" t="n">
        <v>46327</v>
      </c>
      <c r="AT337" s="14" t="n">
        <v>147.914106394588</v>
      </c>
      <c r="AU337" s="17" t="n">
        <v>6.08503283730854</v>
      </c>
      <c r="AV337" s="17"/>
      <c r="AW337" s="16" t="n">
        <v>0</v>
      </c>
      <c r="AX337" s="14" t="s">
        <v>257</v>
      </c>
      <c r="AY337" s="14" t="s">
        <v>257</v>
      </c>
      <c r="AZ337" s="14" t="s">
        <v>373</v>
      </c>
      <c r="BA337" s="14" t="s">
        <v>259</v>
      </c>
      <c r="BB337" s="14" t="s">
        <v>630</v>
      </c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</row>
    <row r="338" customFormat="false" ht="15" hidden="false" customHeight="false" outlineLevel="0" collapsed="false">
      <c r="C338" s="14" t="s">
        <v>299</v>
      </c>
      <c r="D338" s="14" t="s">
        <v>300</v>
      </c>
      <c r="E338" s="14" t="s">
        <v>301</v>
      </c>
      <c r="F338" s="14" t="s">
        <v>253</v>
      </c>
      <c r="G338" s="29" t="n">
        <v>46327</v>
      </c>
      <c r="H338" s="29" t="n">
        <v>46356</v>
      </c>
      <c r="I338" s="14" t="s">
        <v>302</v>
      </c>
      <c r="J338" s="14" t="s">
        <v>303</v>
      </c>
      <c r="K338" s="14" t="n">
        <v>30</v>
      </c>
      <c r="L338" s="16" t="n">
        <v>34.0020398342523</v>
      </c>
      <c r="M338" s="30" t="n">
        <v>22.9096754759419</v>
      </c>
      <c r="N338" s="16" t="n">
        <v>1.44698246850644</v>
      </c>
      <c r="O338" s="16" t="n">
        <v>-7.50605029941072</v>
      </c>
      <c r="P338" s="16" t="n">
        <v>0</v>
      </c>
      <c r="Q338" s="16" t="n">
        <v>1.35681565319945</v>
      </c>
      <c r="R338" s="16" t="n">
        <v>-1.19007139419883</v>
      </c>
      <c r="S338" s="16" t="n">
        <v>-0.25</v>
      </c>
      <c r="T338" s="16" t="n">
        <v>1.36372672750706</v>
      </c>
      <c r="U338" s="16" t="n">
        <v>25</v>
      </c>
      <c r="V338" s="16" t="n">
        <v>18.0887365800323</v>
      </c>
      <c r="W338" s="16" t="n">
        <v>599.28125</v>
      </c>
      <c r="X338" s="16" t="n">
        <v>0</v>
      </c>
      <c r="Y338" s="16" t="n">
        <v>0</v>
      </c>
      <c r="Z338" s="16" t="n">
        <v>0</v>
      </c>
      <c r="AA338" s="16" t="n">
        <v>0</v>
      </c>
      <c r="AB338" s="16" t="n">
        <v>0</v>
      </c>
      <c r="AC338" s="16" t="n">
        <v>599.28125</v>
      </c>
      <c r="AD338" s="16" t="n">
        <v>238.161944512217</v>
      </c>
      <c r="AE338" s="16" t="n">
        <v>0</v>
      </c>
      <c r="AF338" s="16" t="n">
        <v>0</v>
      </c>
      <c r="AG338" s="16" t="n">
        <v>238.161944512217</v>
      </c>
      <c r="AH338" s="16" t="n">
        <v>5.98074014747475</v>
      </c>
      <c r="AI338" s="16" t="n">
        <v>5.98074014747475</v>
      </c>
      <c r="AJ338" s="16" t="n">
        <v>0.66925</v>
      </c>
      <c r="AK338" s="16" t="n">
        <v>1.20833333333333</v>
      </c>
      <c r="AL338" s="16" t="n">
        <v>0.416666666666667</v>
      </c>
      <c r="AM338" s="16" t="n">
        <v>0</v>
      </c>
      <c r="AN338" s="16" t="n">
        <v>900.062194512218</v>
      </c>
      <c r="AO338" s="16" t="n">
        <v>0</v>
      </c>
      <c r="AP338" s="16" t="n">
        <v>238.161944512217</v>
      </c>
      <c r="AQ338" s="14" t="n">
        <v>55.6380554877825</v>
      </c>
      <c r="AR338" s="14" t="s">
        <v>594</v>
      </c>
      <c r="AS338" s="29" t="n">
        <v>46327</v>
      </c>
      <c r="AT338" s="14" t="n">
        <v>138.686080959305</v>
      </c>
      <c r="AU338" s="17" t="n">
        <v>6.48992449917396</v>
      </c>
      <c r="AV338" s="17"/>
      <c r="AW338" s="16" t="n">
        <v>0</v>
      </c>
      <c r="AX338" s="14" t="s">
        <v>257</v>
      </c>
      <c r="AY338" s="14" t="s">
        <v>257</v>
      </c>
      <c r="AZ338" s="14" t="s">
        <v>455</v>
      </c>
      <c r="BA338" s="14" t="s">
        <v>259</v>
      </c>
      <c r="BB338" s="14" t="s">
        <v>631</v>
      </c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</row>
    <row r="339" customFormat="false" ht="15" hidden="false" customHeight="false" outlineLevel="0" collapsed="false">
      <c r="C339" s="14" t="s">
        <v>299</v>
      </c>
      <c r="D339" s="14" t="s">
        <v>300</v>
      </c>
      <c r="E339" s="14" t="s">
        <v>305</v>
      </c>
      <c r="F339" s="14" t="s">
        <v>253</v>
      </c>
      <c r="G339" s="29" t="n">
        <v>46357</v>
      </c>
      <c r="H339" s="29" t="n">
        <v>46387</v>
      </c>
      <c r="I339" s="14" t="s">
        <v>302</v>
      </c>
      <c r="J339" s="14" t="s">
        <v>303</v>
      </c>
      <c r="K339" s="14" t="n">
        <v>31</v>
      </c>
      <c r="L339" s="16" t="n">
        <v>85.0050995856308</v>
      </c>
      <c r="M339" s="30" t="n">
        <v>22.9096754759419</v>
      </c>
      <c r="N339" s="16" t="n">
        <v>3.6174561712661</v>
      </c>
      <c r="O339" s="16" t="n">
        <v>-7.50605029941072</v>
      </c>
      <c r="P339" s="16" t="n">
        <v>0</v>
      </c>
      <c r="Q339" s="16" t="n">
        <v>3.39203913299863</v>
      </c>
      <c r="R339" s="16" t="n">
        <v>-2.97517848549708</v>
      </c>
      <c r="S339" s="16" t="n">
        <v>-0.625</v>
      </c>
      <c r="T339" s="16" t="n">
        <v>3.40931681876765</v>
      </c>
      <c r="U339" s="16" t="n">
        <v>18.0887365800323</v>
      </c>
      <c r="V339" s="16" t="n">
        <v>13.2230632513252</v>
      </c>
      <c r="W339" s="16" t="n">
        <v>599.28125</v>
      </c>
      <c r="X339" s="16" t="n">
        <v>0</v>
      </c>
      <c r="Y339" s="16" t="n">
        <v>0</v>
      </c>
      <c r="Z339" s="16" t="n">
        <v>0</v>
      </c>
      <c r="AA339" s="16" t="n">
        <v>0</v>
      </c>
      <c r="AB339" s="16" t="n">
        <v>0</v>
      </c>
      <c r="AC339" s="16" t="n">
        <v>599.28125</v>
      </c>
      <c r="AD339" s="16" t="n">
        <v>238.161944512217</v>
      </c>
      <c r="AE339" s="16" t="n">
        <v>0</v>
      </c>
      <c r="AF339" s="16" t="n">
        <v>0</v>
      </c>
      <c r="AG339" s="16" t="n">
        <v>238.161944512217</v>
      </c>
      <c r="AH339" s="16" t="n">
        <v>5.98074014747475</v>
      </c>
      <c r="AI339" s="16" t="n">
        <v>5.98074014747475</v>
      </c>
      <c r="AJ339" s="16" t="n">
        <v>0.66925</v>
      </c>
      <c r="AK339" s="16" t="n">
        <v>1.20833333333333</v>
      </c>
      <c r="AL339" s="16" t="n">
        <v>0.416666666666667</v>
      </c>
      <c r="AM339" s="16" t="n">
        <v>0</v>
      </c>
      <c r="AN339" s="16" t="n">
        <v>900.062194512218</v>
      </c>
      <c r="AO339" s="16" t="n">
        <v>0</v>
      </c>
      <c r="AP339" s="16" t="n">
        <v>238.161944512217</v>
      </c>
      <c r="AQ339" s="14" t="n">
        <v>55.6380554877825</v>
      </c>
      <c r="AR339" s="14" t="s">
        <v>594</v>
      </c>
      <c r="AS339" s="29" t="n">
        <v>46327</v>
      </c>
      <c r="AT339" s="14" t="n">
        <v>131.628529226782</v>
      </c>
      <c r="AU339" s="17" t="n">
        <v>6.83789600779863</v>
      </c>
      <c r="AV339" s="17"/>
      <c r="AW339" s="16" t="n">
        <v>0</v>
      </c>
      <c r="AX339" s="14" t="s">
        <v>257</v>
      </c>
      <c r="AY339" s="14" t="s">
        <v>257</v>
      </c>
      <c r="AZ339" s="14" t="s">
        <v>455</v>
      </c>
      <c r="BA339" s="14" t="s">
        <v>259</v>
      </c>
      <c r="BB339" s="14" t="s">
        <v>632</v>
      </c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</row>
    <row r="340" customFormat="false" ht="15" hidden="false" customHeight="false" outlineLevel="0" collapsed="false">
      <c r="C340" s="14" t="s">
        <v>299</v>
      </c>
      <c r="D340" s="14" t="s">
        <v>300</v>
      </c>
      <c r="E340" s="14" t="s">
        <v>307</v>
      </c>
      <c r="F340" s="14" t="s">
        <v>253</v>
      </c>
      <c r="G340" s="29" t="n">
        <v>46388</v>
      </c>
      <c r="H340" s="29" t="n">
        <v>46418</v>
      </c>
      <c r="I340" s="14" t="s">
        <v>302</v>
      </c>
      <c r="J340" s="14" t="s">
        <v>303</v>
      </c>
      <c r="K340" s="14" t="n">
        <v>31</v>
      </c>
      <c r="L340" s="16" t="n">
        <v>221.01325892264</v>
      </c>
      <c r="M340" s="30" t="n">
        <v>22.9096754759419</v>
      </c>
      <c r="N340" s="16" t="n">
        <v>9.40538604529186</v>
      </c>
      <c r="O340" s="16" t="n">
        <v>-7.50605029941072</v>
      </c>
      <c r="P340" s="16" t="n">
        <v>0</v>
      </c>
      <c r="Q340" s="16" t="n">
        <v>8.81930174579643</v>
      </c>
      <c r="R340" s="16" t="n">
        <v>-7.73546406229241</v>
      </c>
      <c r="S340" s="16" t="n">
        <v>-1.625</v>
      </c>
      <c r="T340" s="16" t="n">
        <v>8.86422372879588</v>
      </c>
      <c r="U340" s="16" t="n">
        <v>13.2230632513252</v>
      </c>
      <c r="V340" s="16" t="n">
        <v>1.94856206702132</v>
      </c>
      <c r="W340" s="16" t="n">
        <v>599.28125</v>
      </c>
      <c r="X340" s="16" t="n">
        <v>11.90625</v>
      </c>
      <c r="Y340" s="16" t="n">
        <v>11.90625</v>
      </c>
      <c r="Z340" s="16" t="n">
        <v>0</v>
      </c>
      <c r="AA340" s="16" t="n">
        <v>0</v>
      </c>
      <c r="AB340" s="16" t="n">
        <v>0</v>
      </c>
      <c r="AC340" s="16" t="n">
        <v>587.375</v>
      </c>
      <c r="AD340" s="16" t="n">
        <v>238.161944512217</v>
      </c>
      <c r="AE340" s="16" t="n">
        <v>0</v>
      </c>
      <c r="AF340" s="16" t="n">
        <v>0</v>
      </c>
      <c r="AG340" s="16" t="n">
        <v>238.161944512217</v>
      </c>
      <c r="AH340" s="16" t="n">
        <v>5.93822491309975</v>
      </c>
      <c r="AI340" s="16" t="n">
        <v>5.93822491309975</v>
      </c>
      <c r="AJ340" s="16" t="n">
        <v>0.66925</v>
      </c>
      <c r="AK340" s="16" t="n">
        <v>1.20833333333333</v>
      </c>
      <c r="AL340" s="16" t="n">
        <v>0.416666666666667</v>
      </c>
      <c r="AM340" s="16" t="n">
        <v>0</v>
      </c>
      <c r="AN340" s="16" t="n">
        <v>888.155944512218</v>
      </c>
      <c r="AO340" s="16" t="n">
        <v>0</v>
      </c>
      <c r="AP340" s="16" t="n">
        <v>238.161944512217</v>
      </c>
      <c r="AQ340" s="14" t="n">
        <v>55.6380554877825</v>
      </c>
      <c r="AR340" s="14" t="s">
        <v>594</v>
      </c>
      <c r="AS340" s="29" t="n">
        <v>46327</v>
      </c>
      <c r="AT340" s="14" t="n">
        <v>130.358907368284</v>
      </c>
      <c r="AU340" s="17" t="n">
        <v>6.81315885843564</v>
      </c>
      <c r="AV340" s="17" t="n">
        <v>1.86198099588389</v>
      </c>
      <c r="AW340" s="16" t="n">
        <v>0</v>
      </c>
      <c r="AX340" s="14" t="s">
        <v>257</v>
      </c>
      <c r="AY340" s="14" t="s">
        <v>257</v>
      </c>
      <c r="AZ340" s="14" t="s">
        <v>455</v>
      </c>
      <c r="BA340" s="14" t="s">
        <v>259</v>
      </c>
      <c r="BB340" s="14" t="s">
        <v>633</v>
      </c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</row>
    <row r="341" customFormat="false" ht="15" hidden="false" customHeight="false" outlineLevel="0" collapsed="false">
      <c r="C341" s="14" t="s">
        <v>299</v>
      </c>
      <c r="D341" s="14" t="s">
        <v>300</v>
      </c>
      <c r="E341" s="14" t="s">
        <v>309</v>
      </c>
      <c r="F341" s="14" t="s">
        <v>253</v>
      </c>
      <c r="G341" s="29" t="n">
        <v>46419</v>
      </c>
      <c r="H341" s="29" t="n">
        <v>46446</v>
      </c>
      <c r="I341" s="14" t="s">
        <v>302</v>
      </c>
      <c r="J341" s="14" t="s">
        <v>255</v>
      </c>
      <c r="K341" s="14" t="n">
        <v>28</v>
      </c>
      <c r="L341" s="16" t="n">
        <v>38.4587069925379</v>
      </c>
      <c r="M341" s="30" t="n">
        <v>28.8693217195837</v>
      </c>
      <c r="N341" s="16" t="n">
        <v>3.9286421897728</v>
      </c>
      <c r="O341" s="16" t="n">
        <v>-8.48987268244684</v>
      </c>
      <c r="P341" s="16" t="n">
        <v>-0.440931163937214</v>
      </c>
      <c r="Q341" s="16" t="n">
        <v>0.000250145414212653</v>
      </c>
      <c r="R341" s="16" t="n">
        <v>-1.34605474473883</v>
      </c>
      <c r="S341" s="16" t="n">
        <v>0</v>
      </c>
      <c r="T341" s="16" t="n">
        <v>2.14190642651097</v>
      </c>
      <c r="U341" s="16" t="n">
        <v>1.94856206702132</v>
      </c>
      <c r="V341" s="16" t="n">
        <v>0</v>
      </c>
      <c r="W341" s="16" t="n">
        <v>587.375</v>
      </c>
      <c r="X341" s="16" t="n">
        <v>0</v>
      </c>
      <c r="Y341" s="16" t="n">
        <v>0</v>
      </c>
      <c r="Z341" s="16" t="n">
        <v>0</v>
      </c>
      <c r="AA341" s="16" t="n">
        <v>0</v>
      </c>
      <c r="AB341" s="16" t="n">
        <v>0</v>
      </c>
      <c r="AC341" s="16" t="n">
        <v>587.375</v>
      </c>
      <c r="AD341" s="16" t="n">
        <v>238.161944512217</v>
      </c>
      <c r="AE341" s="16" t="n">
        <v>0</v>
      </c>
      <c r="AF341" s="16" t="n">
        <v>0</v>
      </c>
      <c r="AG341" s="16" t="n">
        <v>238.161944512217</v>
      </c>
      <c r="AH341" s="16" t="n">
        <v>5.89570967872475</v>
      </c>
      <c r="AI341" s="16" t="n">
        <v>4.0904684935323</v>
      </c>
      <c r="AJ341" s="16" t="n">
        <v>0</v>
      </c>
      <c r="AK341" s="16" t="n">
        <v>0</v>
      </c>
      <c r="AL341" s="16" t="n">
        <v>0</v>
      </c>
      <c r="AM341" s="16" t="n">
        <v>1.80524118519246</v>
      </c>
      <c r="AN341" s="16" t="n">
        <v>888.155944512218</v>
      </c>
      <c r="AO341" s="16" t="n">
        <v>0</v>
      </c>
      <c r="AP341" s="16" t="n">
        <v>238.161944512217</v>
      </c>
      <c r="AQ341" s="14" t="n">
        <v>55.6380554877825</v>
      </c>
      <c r="AR341" s="14" t="s">
        <v>594</v>
      </c>
      <c r="AS341" s="29" t="n">
        <v>46327</v>
      </c>
      <c r="AT341" s="14" t="n">
        <v>130.358809149774</v>
      </c>
      <c r="AU341" s="17" t="n">
        <v>6.8131639917927</v>
      </c>
      <c r="AV341" s="17" t="n">
        <v>1.88195040533726</v>
      </c>
      <c r="AW341" s="16" t="n">
        <v>0</v>
      </c>
      <c r="AX341" s="14" t="s">
        <v>257</v>
      </c>
      <c r="AY341" s="14" t="s">
        <v>361</v>
      </c>
      <c r="AZ341" s="14" t="s">
        <v>461</v>
      </c>
      <c r="BA341" s="14" t="s">
        <v>259</v>
      </c>
      <c r="BB341" s="14" t="s">
        <v>634</v>
      </c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</row>
    <row r="342" customFormat="false" ht="15" hidden="false" customHeight="false" outlineLevel="0" collapsed="false">
      <c r="C342" s="14" t="s">
        <v>299</v>
      </c>
      <c r="D342" s="14" t="s">
        <v>300</v>
      </c>
      <c r="E342" s="14" t="s">
        <v>311</v>
      </c>
      <c r="F342" s="14" t="s">
        <v>253</v>
      </c>
      <c r="G342" s="29" t="n">
        <v>46447</v>
      </c>
      <c r="H342" s="29" t="n">
        <v>46477</v>
      </c>
      <c r="I342" s="14" t="s">
        <v>302</v>
      </c>
      <c r="J342" s="14" t="s">
        <v>255</v>
      </c>
      <c r="K342" s="14" t="n">
        <v>31</v>
      </c>
      <c r="L342" s="16" t="n">
        <v>96.1467674813447</v>
      </c>
      <c r="M342" s="30" t="n">
        <v>28.8693217195837</v>
      </c>
      <c r="N342" s="16" t="n">
        <v>9.821605474432</v>
      </c>
      <c r="O342" s="16" t="n">
        <v>-8.48987268244684</v>
      </c>
      <c r="P342" s="16" t="n">
        <v>-1.10232790984303</v>
      </c>
      <c r="Q342" s="16" t="n">
        <v>0.000625363535531634</v>
      </c>
      <c r="R342" s="16" t="n">
        <v>-3.36513686184707</v>
      </c>
      <c r="S342" s="16" t="n">
        <v>0</v>
      </c>
      <c r="T342" s="16" t="n">
        <v>5.35476606627743</v>
      </c>
      <c r="U342" s="16" t="n">
        <v>0</v>
      </c>
      <c r="V342" s="16" t="n">
        <v>0</v>
      </c>
      <c r="W342" s="16" t="n">
        <v>587.375</v>
      </c>
      <c r="X342" s="16" t="n">
        <v>0</v>
      </c>
      <c r="Y342" s="16" t="n">
        <v>0</v>
      </c>
      <c r="Z342" s="16" t="n">
        <v>0</v>
      </c>
      <c r="AA342" s="16" t="n">
        <v>0</v>
      </c>
      <c r="AB342" s="16" t="n">
        <v>0</v>
      </c>
      <c r="AC342" s="16" t="n">
        <v>587.375</v>
      </c>
      <c r="AD342" s="16" t="n">
        <v>238.161944512217</v>
      </c>
      <c r="AE342" s="16" t="n">
        <v>0</v>
      </c>
      <c r="AF342" s="16" t="n">
        <v>0</v>
      </c>
      <c r="AG342" s="16" t="n">
        <v>238.161944512217</v>
      </c>
      <c r="AH342" s="16" t="n">
        <v>5.89570967872475</v>
      </c>
      <c r="AI342" s="16" t="n">
        <v>5.35476606627743</v>
      </c>
      <c r="AJ342" s="16" t="n">
        <v>0</v>
      </c>
      <c r="AK342" s="16" t="n">
        <v>0</v>
      </c>
      <c r="AL342" s="16" t="n">
        <v>0</v>
      </c>
      <c r="AM342" s="16" t="n">
        <v>0.540943612447326</v>
      </c>
      <c r="AN342" s="16" t="n">
        <v>888.155944512218</v>
      </c>
      <c r="AO342" s="16" t="n">
        <v>0</v>
      </c>
      <c r="AP342" s="16" t="n">
        <v>238.161944512217</v>
      </c>
      <c r="AQ342" s="14" t="n">
        <v>55.6380554877825</v>
      </c>
      <c r="AR342" s="14" t="s">
        <v>594</v>
      </c>
      <c r="AS342" s="29" t="n">
        <v>46327</v>
      </c>
      <c r="AT342" s="14" t="n">
        <v>130.358563603499</v>
      </c>
      <c r="AU342" s="17" t="n">
        <v>6.81317682521918</v>
      </c>
      <c r="AV342" s="17" t="n">
        <v>1.87486890768475</v>
      </c>
      <c r="AW342" s="16" t="n">
        <v>0</v>
      </c>
      <c r="AX342" s="14" t="s">
        <v>257</v>
      </c>
      <c r="AY342" s="14" t="s">
        <v>361</v>
      </c>
      <c r="AZ342" s="14" t="s">
        <v>461</v>
      </c>
      <c r="BA342" s="14" t="s">
        <v>259</v>
      </c>
      <c r="BB342" s="14" t="s">
        <v>635</v>
      </c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</row>
    <row r="343" customFormat="false" ht="15" hidden="false" customHeight="false" outlineLevel="0" collapsed="false">
      <c r="C343" s="14" t="s">
        <v>299</v>
      </c>
      <c r="D343" s="14" t="s">
        <v>300</v>
      </c>
      <c r="E343" s="14" t="s">
        <v>313</v>
      </c>
      <c r="F343" s="14" t="s">
        <v>253</v>
      </c>
      <c r="G343" s="29" t="n">
        <v>46478</v>
      </c>
      <c r="H343" s="29" t="n">
        <v>46507</v>
      </c>
      <c r="I343" s="14" t="s">
        <v>302</v>
      </c>
      <c r="J343" s="14" t="s">
        <v>255</v>
      </c>
      <c r="K343" s="14" t="n">
        <v>30</v>
      </c>
      <c r="L343" s="16" t="n">
        <v>249.981595451496</v>
      </c>
      <c r="M343" s="30" t="n">
        <v>28.8693217195837</v>
      </c>
      <c r="N343" s="16" t="n">
        <v>25.5361742335232</v>
      </c>
      <c r="O343" s="16" t="n">
        <v>-8.48987268244684</v>
      </c>
      <c r="P343" s="16" t="n">
        <v>-2.86605256559189</v>
      </c>
      <c r="Q343" s="16" t="n">
        <v>0.00162594519238225</v>
      </c>
      <c r="R343" s="16" t="n">
        <v>-8.74935584080237</v>
      </c>
      <c r="S343" s="16" t="n">
        <v>0</v>
      </c>
      <c r="T343" s="16" t="n">
        <v>13.9223917723213</v>
      </c>
      <c r="U343" s="16" t="n">
        <v>0</v>
      </c>
      <c r="V343" s="16" t="n">
        <v>0</v>
      </c>
      <c r="W343" s="16" t="n">
        <v>587.375</v>
      </c>
      <c r="X343" s="16" t="n">
        <v>11.90625</v>
      </c>
      <c r="Y343" s="16" t="n">
        <v>7.39994732797156</v>
      </c>
      <c r="Z343" s="16" t="n">
        <v>0</v>
      </c>
      <c r="AA343" s="16" t="n">
        <v>0</v>
      </c>
      <c r="AB343" s="16" t="n">
        <v>0</v>
      </c>
      <c r="AC343" s="16" t="n">
        <v>579.975052672029</v>
      </c>
      <c r="AD343" s="16" t="n">
        <v>238.161944512217</v>
      </c>
      <c r="AE343" s="16" t="n">
        <v>0</v>
      </c>
      <c r="AF343" s="16" t="n">
        <v>0</v>
      </c>
      <c r="AG343" s="16" t="n">
        <v>238.161944512217</v>
      </c>
      <c r="AH343" s="16" t="n">
        <v>5.85319444434975</v>
      </c>
      <c r="AI343" s="16" t="n">
        <v>5.85319444434975</v>
      </c>
      <c r="AJ343" s="16" t="n">
        <v>0.66925</v>
      </c>
      <c r="AK343" s="16" t="n">
        <v>0</v>
      </c>
      <c r="AL343" s="16" t="n">
        <v>0</v>
      </c>
      <c r="AM343" s="16" t="n">
        <v>4.50630267202844</v>
      </c>
      <c r="AN343" s="16" t="n">
        <v>880.755997184246</v>
      </c>
      <c r="AO343" s="16" t="n">
        <v>0</v>
      </c>
      <c r="AP343" s="16" t="n">
        <v>238.161944512217</v>
      </c>
      <c r="AQ343" s="14" t="n">
        <v>55.6380554877825</v>
      </c>
      <c r="AR343" s="14" t="s">
        <v>594</v>
      </c>
      <c r="AS343" s="29" t="n">
        <v>46327</v>
      </c>
      <c r="AT343" s="14" t="n">
        <v>130.357925183182</v>
      </c>
      <c r="AU343" s="17" t="n">
        <v>6.75644381380407</v>
      </c>
      <c r="AV343" s="17" t="n">
        <v>1.87027533024986</v>
      </c>
      <c r="AW343" s="16" t="n">
        <v>0</v>
      </c>
      <c r="AX343" s="14" t="s">
        <v>257</v>
      </c>
      <c r="AY343" s="14" t="s">
        <v>361</v>
      </c>
      <c r="AZ343" s="14" t="s">
        <v>461</v>
      </c>
      <c r="BA343" s="14" t="s">
        <v>259</v>
      </c>
      <c r="BB343" s="14" t="s">
        <v>636</v>
      </c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</row>
    <row r="344" customFormat="false" ht="15" hidden="false" customHeight="false" outlineLevel="0" collapsed="false">
      <c r="C344" s="14" t="s">
        <v>299</v>
      </c>
      <c r="D344" s="14" t="s">
        <v>300</v>
      </c>
      <c r="E344" s="14" t="s">
        <v>315</v>
      </c>
      <c r="F344" s="14" t="s">
        <v>253</v>
      </c>
      <c r="G344" s="29" t="n">
        <v>46508</v>
      </c>
      <c r="H344" s="29" t="n">
        <v>46538</v>
      </c>
      <c r="I344" s="14" t="s">
        <v>302</v>
      </c>
      <c r="J344" s="14" t="s">
        <v>271</v>
      </c>
      <c r="K344" s="14" t="n">
        <v>31</v>
      </c>
      <c r="L344" s="16" t="n">
        <v>42.0961001160614</v>
      </c>
      <c r="M344" s="30" t="n">
        <v>27.6901735836919</v>
      </c>
      <c r="N344" s="16" t="n">
        <v>3.80383458235193</v>
      </c>
      <c r="O344" s="16" t="n">
        <v>-9.29283791267971</v>
      </c>
      <c r="P344" s="16" t="n">
        <v>-0.35854022865465</v>
      </c>
      <c r="Q344" s="16" t="n">
        <v>0.000276025513253023</v>
      </c>
      <c r="R344" s="16" t="n">
        <v>-1.47336350406215</v>
      </c>
      <c r="S344" s="16" t="n">
        <v>0</v>
      </c>
      <c r="T344" s="16" t="n">
        <v>1.97220687514838</v>
      </c>
      <c r="U344" s="16" t="n">
        <v>0</v>
      </c>
      <c r="V344" s="16" t="n">
        <v>0</v>
      </c>
      <c r="W344" s="16" t="n">
        <v>579.975052672029</v>
      </c>
      <c r="X344" s="16" t="n">
        <v>0</v>
      </c>
      <c r="Y344" s="16" t="n">
        <v>0</v>
      </c>
      <c r="Z344" s="16" t="n">
        <v>0</v>
      </c>
      <c r="AA344" s="16" t="n">
        <v>0</v>
      </c>
      <c r="AB344" s="16" t="n">
        <v>0</v>
      </c>
      <c r="AC344" s="16" t="n">
        <v>579.975052672029</v>
      </c>
      <c r="AD344" s="16" t="n">
        <v>238.161944512217</v>
      </c>
      <c r="AE344" s="16" t="n">
        <v>0</v>
      </c>
      <c r="AF344" s="16" t="n">
        <v>0</v>
      </c>
      <c r="AG344" s="16" t="n">
        <v>238.161944512217</v>
      </c>
      <c r="AH344" s="16" t="n">
        <v>5.84286172155749</v>
      </c>
      <c r="AI344" s="16" t="n">
        <v>1.97220687514838</v>
      </c>
      <c r="AJ344" s="16" t="n">
        <v>0</v>
      </c>
      <c r="AK344" s="16" t="n">
        <v>0</v>
      </c>
      <c r="AL344" s="16" t="n">
        <v>0</v>
      </c>
      <c r="AM344" s="16" t="n">
        <v>3.87065484640911</v>
      </c>
      <c r="AN344" s="16" t="n">
        <v>880.755997184246</v>
      </c>
      <c r="AO344" s="16" t="n">
        <v>0</v>
      </c>
      <c r="AP344" s="16" t="n">
        <v>238.161944512217</v>
      </c>
      <c r="AQ344" s="14" t="n">
        <v>55.6380554877825</v>
      </c>
      <c r="AR344" s="14" t="s">
        <v>594</v>
      </c>
      <c r="AS344" s="29" t="n">
        <v>46327</v>
      </c>
      <c r="AT344" s="14" t="n">
        <v>130.35783008494</v>
      </c>
      <c r="AU344" s="17" t="n">
        <v>6.75644874274412</v>
      </c>
      <c r="AV344" s="17" t="n">
        <v>1.98848134288742</v>
      </c>
      <c r="AW344" s="16" t="n">
        <v>0</v>
      </c>
      <c r="AX344" s="14" t="s">
        <v>257</v>
      </c>
      <c r="AY344" s="14" t="s">
        <v>361</v>
      </c>
      <c r="AZ344" s="14" t="s">
        <v>461</v>
      </c>
      <c r="BA344" s="14" t="s">
        <v>259</v>
      </c>
      <c r="BB344" s="14" t="s">
        <v>637</v>
      </c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</row>
    <row r="345" customFormat="false" ht="15" hidden="false" customHeight="false" outlineLevel="0" collapsed="false">
      <c r="C345" s="14" t="s">
        <v>299</v>
      </c>
      <c r="D345" s="14" t="s">
        <v>300</v>
      </c>
      <c r="E345" s="14" t="s">
        <v>317</v>
      </c>
      <c r="F345" s="14" t="s">
        <v>253</v>
      </c>
      <c r="G345" s="29" t="n">
        <v>46539</v>
      </c>
      <c r="H345" s="29" t="n">
        <v>46568</v>
      </c>
      <c r="I345" s="14" t="s">
        <v>302</v>
      </c>
      <c r="J345" s="14" t="s">
        <v>271</v>
      </c>
      <c r="K345" s="14" t="n">
        <v>30</v>
      </c>
      <c r="L345" s="16" t="n">
        <v>105.240250290153</v>
      </c>
      <c r="M345" s="30" t="n">
        <v>27.6901735836919</v>
      </c>
      <c r="N345" s="16" t="n">
        <v>9.50958645587982</v>
      </c>
      <c r="O345" s="16" t="n">
        <v>-9.29283791267971</v>
      </c>
      <c r="P345" s="16" t="n">
        <v>-0.896350571636625</v>
      </c>
      <c r="Q345" s="16" t="n">
        <v>0.000690063783132557</v>
      </c>
      <c r="R345" s="16" t="n">
        <v>-3.68340876015537</v>
      </c>
      <c r="S345" s="16" t="n">
        <v>0</v>
      </c>
      <c r="T345" s="16" t="n">
        <v>4.93051718787096</v>
      </c>
      <c r="U345" s="16" t="n">
        <v>0</v>
      </c>
      <c r="V345" s="16" t="n">
        <v>0</v>
      </c>
      <c r="W345" s="16" t="n">
        <v>579.975052672029</v>
      </c>
      <c r="X345" s="16" t="n">
        <v>0</v>
      </c>
      <c r="Y345" s="16" t="n">
        <v>0</v>
      </c>
      <c r="Z345" s="16" t="n">
        <v>0</v>
      </c>
      <c r="AA345" s="16" t="n">
        <v>0</v>
      </c>
      <c r="AB345" s="16" t="n">
        <v>0</v>
      </c>
      <c r="AC345" s="16" t="n">
        <v>579.975052672029</v>
      </c>
      <c r="AD345" s="16" t="n">
        <v>238.161944512217</v>
      </c>
      <c r="AE345" s="16" t="n">
        <v>0</v>
      </c>
      <c r="AF345" s="16" t="n">
        <v>0</v>
      </c>
      <c r="AG345" s="16" t="n">
        <v>238.161944512217</v>
      </c>
      <c r="AH345" s="16" t="n">
        <v>5.84286172155749</v>
      </c>
      <c r="AI345" s="16" t="n">
        <v>4.93051718787096</v>
      </c>
      <c r="AJ345" s="16" t="n">
        <v>0</v>
      </c>
      <c r="AK345" s="16" t="n">
        <v>0</v>
      </c>
      <c r="AL345" s="16" t="n">
        <v>0</v>
      </c>
      <c r="AM345" s="16" t="n">
        <v>0.912344533686535</v>
      </c>
      <c r="AN345" s="16" t="n">
        <v>880.755997184246</v>
      </c>
      <c r="AO345" s="16" t="n">
        <v>0</v>
      </c>
      <c r="AP345" s="16" t="n">
        <v>238.161944512217</v>
      </c>
      <c r="AQ345" s="14" t="n">
        <v>55.6380554877825</v>
      </c>
      <c r="AR345" s="14" t="s">
        <v>594</v>
      </c>
      <c r="AS345" s="29" t="n">
        <v>46327</v>
      </c>
      <c r="AT345" s="14" t="n">
        <v>130.357592339335</v>
      </c>
      <c r="AU345" s="17" t="n">
        <v>6.75646106512569</v>
      </c>
      <c r="AV345" s="17" t="n">
        <v>2.02567643340028</v>
      </c>
      <c r="AW345" s="16" t="n">
        <v>0</v>
      </c>
      <c r="AX345" s="14" t="s">
        <v>257</v>
      </c>
      <c r="AY345" s="14" t="s">
        <v>361</v>
      </c>
      <c r="AZ345" s="14" t="s">
        <v>461</v>
      </c>
      <c r="BA345" s="14" t="s">
        <v>259</v>
      </c>
      <c r="BB345" s="14" t="s">
        <v>638</v>
      </c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</row>
    <row r="346" customFormat="false" ht="15" hidden="false" customHeight="false" outlineLevel="0" collapsed="false">
      <c r="C346" s="14" t="s">
        <v>299</v>
      </c>
      <c r="D346" s="14" t="s">
        <v>300</v>
      </c>
      <c r="E346" s="14" t="s">
        <v>319</v>
      </c>
      <c r="F346" s="14" t="s">
        <v>253</v>
      </c>
      <c r="G346" s="29" t="n">
        <v>46569</v>
      </c>
      <c r="H346" s="29" t="n">
        <v>46599</v>
      </c>
      <c r="I346" s="14" t="s">
        <v>302</v>
      </c>
      <c r="J346" s="14" t="s">
        <v>271</v>
      </c>
      <c r="K346" s="14" t="n">
        <v>31</v>
      </c>
      <c r="L346" s="16" t="n">
        <v>273.624650754399</v>
      </c>
      <c r="M346" s="30" t="n">
        <v>27.6901735836919</v>
      </c>
      <c r="N346" s="16" t="n">
        <v>24.7249247852875</v>
      </c>
      <c r="O346" s="16" t="n">
        <v>-9.29283791267971</v>
      </c>
      <c r="P346" s="16" t="n">
        <v>-2.33051148625523</v>
      </c>
      <c r="Q346" s="16" t="n">
        <v>0.00179416583614465</v>
      </c>
      <c r="R346" s="16" t="n">
        <v>-9.57686277640396</v>
      </c>
      <c r="S346" s="16" t="n">
        <v>0</v>
      </c>
      <c r="T346" s="16" t="n">
        <v>12.8193446884645</v>
      </c>
      <c r="U346" s="16" t="n">
        <v>0</v>
      </c>
      <c r="V346" s="16" t="n">
        <v>0</v>
      </c>
      <c r="W346" s="16" t="n">
        <v>579.975052672029</v>
      </c>
      <c r="X346" s="16" t="n">
        <v>11.90625</v>
      </c>
      <c r="Y346" s="16" t="n">
        <v>6.34974820128199</v>
      </c>
      <c r="Z346" s="16" t="n">
        <v>0</v>
      </c>
      <c r="AA346" s="16" t="n">
        <v>0</v>
      </c>
      <c r="AB346" s="16" t="n">
        <v>0</v>
      </c>
      <c r="AC346" s="16" t="n">
        <v>573.625304470746</v>
      </c>
      <c r="AD346" s="16" t="n">
        <v>238.161944512217</v>
      </c>
      <c r="AE346" s="16" t="n">
        <v>0</v>
      </c>
      <c r="AF346" s="16" t="n">
        <v>0</v>
      </c>
      <c r="AG346" s="16" t="n">
        <v>238.161944512217</v>
      </c>
      <c r="AH346" s="16" t="n">
        <v>5.80034648718249</v>
      </c>
      <c r="AI346" s="16" t="n">
        <v>5.80034648718249</v>
      </c>
      <c r="AJ346" s="16" t="n">
        <v>0.66925</v>
      </c>
      <c r="AK346" s="16" t="n">
        <v>0</v>
      </c>
      <c r="AL346" s="16" t="n">
        <v>0</v>
      </c>
      <c r="AM346" s="16" t="n">
        <v>5.55650179871801</v>
      </c>
      <c r="AN346" s="16" t="n">
        <v>874.406248982964</v>
      </c>
      <c r="AO346" s="16" t="n">
        <v>0</v>
      </c>
      <c r="AP346" s="16" t="n">
        <v>238.161944512217</v>
      </c>
      <c r="AQ346" s="14" t="n">
        <v>55.6380554877825</v>
      </c>
      <c r="AR346" s="14" t="s">
        <v>594</v>
      </c>
      <c r="AS346" s="29" t="n">
        <v>46327</v>
      </c>
      <c r="AT346" s="14" t="n">
        <v>130.356974200762</v>
      </c>
      <c r="AU346" s="17" t="n">
        <v>6.70778264334592</v>
      </c>
      <c r="AV346" s="17" t="n">
        <v>2.03475518664767</v>
      </c>
      <c r="AW346" s="16" t="n">
        <v>0</v>
      </c>
      <c r="AX346" s="14" t="s">
        <v>257</v>
      </c>
      <c r="AY346" s="14" t="s">
        <v>361</v>
      </c>
      <c r="AZ346" s="14" t="s">
        <v>461</v>
      </c>
      <c r="BA346" s="14" t="s">
        <v>259</v>
      </c>
      <c r="BB346" s="14" t="s">
        <v>639</v>
      </c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</row>
    <row r="347" customFormat="false" ht="15" hidden="false" customHeight="false" outlineLevel="0" collapsed="false">
      <c r="C347" s="14" t="s">
        <v>299</v>
      </c>
      <c r="D347" s="14" t="s">
        <v>300</v>
      </c>
      <c r="E347" s="14" t="s">
        <v>321</v>
      </c>
      <c r="F347" s="14" t="s">
        <v>253</v>
      </c>
      <c r="G347" s="29" t="n">
        <v>46600</v>
      </c>
      <c r="H347" s="29" t="n">
        <v>46630</v>
      </c>
      <c r="I347" s="14" t="s">
        <v>302</v>
      </c>
      <c r="J347" s="14" t="s">
        <v>288</v>
      </c>
      <c r="K347" s="14" t="n">
        <v>31</v>
      </c>
      <c r="L347" s="16" t="n">
        <v>41.6348281805231</v>
      </c>
      <c r="M347" s="30" t="n">
        <v>27.9159174302794</v>
      </c>
      <c r="N347" s="16" t="n">
        <v>3.85614177349056</v>
      </c>
      <c r="O347" s="16" t="n">
        <v>-9.19101077622747</v>
      </c>
      <c r="P347" s="16" t="n">
        <v>-0.378108506388139</v>
      </c>
      <c r="Q347" s="16" t="n">
        <v>0.00027258029028027</v>
      </c>
      <c r="R347" s="16" t="n">
        <v>-1.45721898631831</v>
      </c>
      <c r="S347" s="16" t="n">
        <v>0</v>
      </c>
      <c r="T347" s="16" t="n">
        <v>2.0210868610744</v>
      </c>
      <c r="U347" s="16" t="n">
        <v>0</v>
      </c>
      <c r="V347" s="16" t="n">
        <v>0</v>
      </c>
      <c r="W347" s="16" t="n">
        <v>573.625304470746</v>
      </c>
      <c r="X347" s="16" t="n">
        <v>0</v>
      </c>
      <c r="Y347" s="16" t="n">
        <v>0</v>
      </c>
      <c r="Z347" s="16" t="n">
        <v>0</v>
      </c>
      <c r="AA347" s="16" t="n">
        <v>0</v>
      </c>
      <c r="AB347" s="16" t="n">
        <v>0</v>
      </c>
      <c r="AC347" s="16" t="n">
        <v>573.625304470746</v>
      </c>
      <c r="AD347" s="16" t="n">
        <v>238.161944512217</v>
      </c>
      <c r="AE347" s="16" t="n">
        <v>0</v>
      </c>
      <c r="AF347" s="16" t="n">
        <v>0</v>
      </c>
      <c r="AG347" s="16" t="n">
        <v>238.161944512217</v>
      </c>
      <c r="AH347" s="16" t="n">
        <v>5.79751393648667</v>
      </c>
      <c r="AI347" s="16" t="n">
        <v>2.0210868610744</v>
      </c>
      <c r="AJ347" s="16" t="n">
        <v>0</v>
      </c>
      <c r="AK347" s="16" t="n">
        <v>0</v>
      </c>
      <c r="AL347" s="16" t="n">
        <v>0</v>
      </c>
      <c r="AM347" s="16" t="n">
        <v>3.77642707541227</v>
      </c>
      <c r="AN347" s="16" t="n">
        <v>874.406248982964</v>
      </c>
      <c r="AO347" s="16" t="n">
        <v>0</v>
      </c>
      <c r="AP347" s="16" t="n">
        <v>238.161944512217</v>
      </c>
      <c r="AQ347" s="14" t="n">
        <v>55.6380554877825</v>
      </c>
      <c r="AR347" s="14" t="s">
        <v>594</v>
      </c>
      <c r="AS347" s="29" t="n">
        <v>46327</v>
      </c>
      <c r="AT347" s="14" t="n">
        <v>130.356877794808</v>
      </c>
      <c r="AU347" s="17" t="n">
        <v>6.70778760411361</v>
      </c>
      <c r="AV347" s="17" t="n">
        <v>2.17161376380266</v>
      </c>
      <c r="AW347" s="16" t="n">
        <v>0</v>
      </c>
      <c r="AX347" s="14" t="s">
        <v>257</v>
      </c>
      <c r="AY347" s="14" t="s">
        <v>361</v>
      </c>
      <c r="AZ347" s="14" t="s">
        <v>461</v>
      </c>
      <c r="BA347" s="14" t="s">
        <v>259</v>
      </c>
      <c r="BB347" s="14" t="s">
        <v>640</v>
      </c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</row>
    <row r="348" customFormat="false" ht="15" hidden="false" customHeight="false" outlineLevel="0" collapsed="false">
      <c r="C348" s="14" t="s">
        <v>299</v>
      </c>
      <c r="D348" s="14" t="s">
        <v>300</v>
      </c>
      <c r="E348" s="14" t="s">
        <v>323</v>
      </c>
      <c r="F348" s="14" t="s">
        <v>253</v>
      </c>
      <c r="G348" s="29" t="n">
        <v>46631</v>
      </c>
      <c r="H348" s="29" t="n">
        <v>46660</v>
      </c>
      <c r="I348" s="14" t="s">
        <v>302</v>
      </c>
      <c r="J348" s="14" t="s">
        <v>288</v>
      </c>
      <c r="K348" s="14" t="n">
        <v>30</v>
      </c>
      <c r="L348" s="16" t="n">
        <v>104.087070451308</v>
      </c>
      <c r="M348" s="30" t="n">
        <v>27.9159174302794</v>
      </c>
      <c r="N348" s="16" t="n">
        <v>9.6403544337264</v>
      </c>
      <c r="O348" s="16" t="n">
        <v>-9.19101077622747</v>
      </c>
      <c r="P348" s="16" t="n">
        <v>-0.945271265970348</v>
      </c>
      <c r="Q348" s="16" t="n">
        <v>0.000681450725700674</v>
      </c>
      <c r="R348" s="16" t="n">
        <v>-3.64304746579577</v>
      </c>
      <c r="S348" s="16" t="n">
        <v>0</v>
      </c>
      <c r="T348" s="16" t="n">
        <v>5.05271715268599</v>
      </c>
      <c r="U348" s="16" t="n">
        <v>0</v>
      </c>
      <c r="V348" s="16" t="n">
        <v>0</v>
      </c>
      <c r="W348" s="16" t="n">
        <v>573.625304470746</v>
      </c>
      <c r="X348" s="16" t="n">
        <v>0</v>
      </c>
      <c r="Y348" s="16" t="n">
        <v>0</v>
      </c>
      <c r="Z348" s="16" t="n">
        <v>0</v>
      </c>
      <c r="AA348" s="16" t="n">
        <v>0</v>
      </c>
      <c r="AB348" s="16" t="n">
        <v>0</v>
      </c>
      <c r="AC348" s="16" t="n">
        <v>573.625304470746</v>
      </c>
      <c r="AD348" s="16" t="n">
        <v>238.161944512217</v>
      </c>
      <c r="AE348" s="16" t="n">
        <v>0</v>
      </c>
      <c r="AF348" s="16" t="n">
        <v>0</v>
      </c>
      <c r="AG348" s="16" t="n">
        <v>238.161944512217</v>
      </c>
      <c r="AH348" s="16" t="n">
        <v>5.79751393648667</v>
      </c>
      <c r="AI348" s="16" t="n">
        <v>5.05271715268599</v>
      </c>
      <c r="AJ348" s="16" t="n">
        <v>0</v>
      </c>
      <c r="AK348" s="16" t="n">
        <v>0</v>
      </c>
      <c r="AL348" s="16" t="n">
        <v>0</v>
      </c>
      <c r="AM348" s="16" t="n">
        <v>0.74479678380068</v>
      </c>
      <c r="AN348" s="16" t="n">
        <v>874.406248982964</v>
      </c>
      <c r="AO348" s="16" t="n">
        <v>0</v>
      </c>
      <c r="AP348" s="16" t="n">
        <v>238.161944512217</v>
      </c>
      <c r="AQ348" s="14" t="n">
        <v>55.6380554877825</v>
      </c>
      <c r="AR348" s="14" t="s">
        <v>594</v>
      </c>
      <c r="AS348" s="29" t="n">
        <v>46327</v>
      </c>
      <c r="AT348" s="14" t="n">
        <v>130.356636779921</v>
      </c>
      <c r="AU348" s="17" t="n">
        <v>6.70780000606495</v>
      </c>
      <c r="AV348" s="17" t="n">
        <v>2.2092948200508</v>
      </c>
      <c r="AW348" s="16" t="n">
        <v>0</v>
      </c>
      <c r="AX348" s="14" t="s">
        <v>257</v>
      </c>
      <c r="AY348" s="14" t="s">
        <v>361</v>
      </c>
      <c r="AZ348" s="14" t="s">
        <v>461</v>
      </c>
      <c r="BA348" s="14" t="s">
        <v>259</v>
      </c>
      <c r="BB348" s="14" t="s">
        <v>641</v>
      </c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</row>
    <row r="349" customFormat="false" ht="15" hidden="false" customHeight="false" outlineLevel="0" collapsed="false">
      <c r="C349" s="14" t="s">
        <v>299</v>
      </c>
      <c r="D349" s="14" t="s">
        <v>300</v>
      </c>
      <c r="E349" s="14" t="s">
        <v>325</v>
      </c>
      <c r="F349" s="14" t="s">
        <v>253</v>
      </c>
      <c r="G349" s="29" t="n">
        <v>46661</v>
      </c>
      <c r="H349" s="29" t="n">
        <v>46691</v>
      </c>
      <c r="I349" s="14" t="s">
        <v>302</v>
      </c>
      <c r="J349" s="14" t="s">
        <v>288</v>
      </c>
      <c r="K349" s="14" t="n">
        <v>31</v>
      </c>
      <c r="L349" s="16" t="n">
        <v>270.6263831734</v>
      </c>
      <c r="M349" s="30" t="n">
        <v>27.9159174302794</v>
      </c>
      <c r="N349" s="16" t="n">
        <v>25.0649215276886</v>
      </c>
      <c r="O349" s="16" t="n">
        <v>-9.19101077622747</v>
      </c>
      <c r="P349" s="16" t="n">
        <v>-2.4577052915229</v>
      </c>
      <c r="Q349" s="16" t="n">
        <v>0.00177177188682175</v>
      </c>
      <c r="R349" s="16" t="n">
        <v>-9.471923411069</v>
      </c>
      <c r="S349" s="16" t="n">
        <v>0</v>
      </c>
      <c r="T349" s="16" t="n">
        <v>13.1370645969836</v>
      </c>
      <c r="U349" s="16" t="n">
        <v>0</v>
      </c>
      <c r="V349" s="16" t="n">
        <v>0</v>
      </c>
      <c r="W349" s="16" t="n">
        <v>573.625304470746</v>
      </c>
      <c r="X349" s="16" t="n">
        <v>11.90625</v>
      </c>
      <c r="Y349" s="16" t="n">
        <v>6.7128158948719</v>
      </c>
      <c r="Z349" s="16" t="n">
        <v>0</v>
      </c>
      <c r="AA349" s="16" t="n">
        <v>0</v>
      </c>
      <c r="AB349" s="16" t="n">
        <v>0</v>
      </c>
      <c r="AC349" s="16" t="n">
        <v>566.912488575875</v>
      </c>
      <c r="AD349" s="16" t="n">
        <v>238.161944512217</v>
      </c>
      <c r="AE349" s="16" t="n">
        <v>0</v>
      </c>
      <c r="AF349" s="16" t="n">
        <v>0</v>
      </c>
      <c r="AG349" s="16" t="n">
        <v>238.161944512217</v>
      </c>
      <c r="AH349" s="16" t="n">
        <v>5.75499870211167</v>
      </c>
      <c r="AI349" s="16" t="n">
        <v>5.75499870211167</v>
      </c>
      <c r="AJ349" s="16" t="n">
        <v>0.66925</v>
      </c>
      <c r="AK349" s="16" t="n">
        <v>0</v>
      </c>
      <c r="AL349" s="16" t="n">
        <v>0</v>
      </c>
      <c r="AM349" s="16" t="n">
        <v>5.1934341051281</v>
      </c>
      <c r="AN349" s="16" t="n">
        <v>867.693433088092</v>
      </c>
      <c r="AO349" s="16" t="n">
        <v>0</v>
      </c>
      <c r="AP349" s="16" t="n">
        <v>238.161944512217</v>
      </c>
      <c r="AQ349" s="14" t="n">
        <v>55.6380554877825</v>
      </c>
      <c r="AR349" s="14" t="s">
        <v>594</v>
      </c>
      <c r="AS349" s="29" t="n">
        <v>46327</v>
      </c>
      <c r="AT349" s="14" t="n">
        <v>130.356010141217</v>
      </c>
      <c r="AU349" s="17" t="n">
        <v>6.6563362298992</v>
      </c>
      <c r="AV349" s="17" t="n">
        <v>2.21958102405182</v>
      </c>
      <c r="AW349" s="16" t="n">
        <v>0</v>
      </c>
      <c r="AX349" s="14" t="s">
        <v>257</v>
      </c>
      <c r="AY349" s="14" t="s">
        <v>361</v>
      </c>
      <c r="AZ349" s="14" t="s">
        <v>461</v>
      </c>
      <c r="BA349" s="14" t="s">
        <v>259</v>
      </c>
      <c r="BB349" s="14" t="s">
        <v>642</v>
      </c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</row>
    <row r="350" customFormat="false" ht="15" hidden="false" customHeight="false" outlineLevel="0" collapsed="false">
      <c r="C350" s="14" t="s">
        <v>299</v>
      </c>
      <c r="D350" s="14" t="s">
        <v>300</v>
      </c>
      <c r="E350" s="14" t="s">
        <v>327</v>
      </c>
      <c r="F350" s="14" t="s">
        <v>253</v>
      </c>
      <c r="G350" s="29" t="n">
        <v>46692</v>
      </c>
      <c r="H350" s="29" t="n">
        <v>46721</v>
      </c>
      <c r="I350" s="14" t="s">
        <v>328</v>
      </c>
      <c r="J350" s="14" t="s">
        <v>303</v>
      </c>
      <c r="K350" s="14" t="n">
        <v>30</v>
      </c>
      <c r="L350" s="16" t="n">
        <v>34.0011897832565</v>
      </c>
      <c r="M350" s="30" t="n">
        <v>22.9096754759419</v>
      </c>
      <c r="N350" s="16" t="n">
        <v>1.44694629394473</v>
      </c>
      <c r="O350" s="16" t="n">
        <v>-7.50586264815323</v>
      </c>
      <c r="P350" s="16" t="n">
        <v>0</v>
      </c>
      <c r="Q350" s="16" t="n">
        <v>0.000230221586671479</v>
      </c>
      <c r="R350" s="16" t="n">
        <v>-1.19004164241398</v>
      </c>
      <c r="S350" s="16" t="n">
        <v>0</v>
      </c>
      <c r="T350" s="16" t="n">
        <v>0.257134873117422</v>
      </c>
      <c r="U350" s="16" t="n">
        <v>0</v>
      </c>
      <c r="V350" s="16" t="n">
        <v>0</v>
      </c>
      <c r="W350" s="16" t="n">
        <v>566.912488575875</v>
      </c>
      <c r="X350" s="16" t="n">
        <v>0</v>
      </c>
      <c r="Y350" s="16" t="n">
        <v>0</v>
      </c>
      <c r="Z350" s="16" t="n">
        <v>0</v>
      </c>
      <c r="AA350" s="16" t="n">
        <v>0</v>
      </c>
      <c r="AB350" s="16" t="n">
        <v>0</v>
      </c>
      <c r="AC350" s="16" t="n">
        <v>566.912488575875</v>
      </c>
      <c r="AD350" s="16" t="n">
        <v>238.161944512217</v>
      </c>
      <c r="AE350" s="16" t="n">
        <v>0</v>
      </c>
      <c r="AF350" s="16" t="n">
        <v>0</v>
      </c>
      <c r="AG350" s="16" t="n">
        <v>238.161944512217</v>
      </c>
      <c r="AH350" s="16" t="n">
        <v>5.74957324297079</v>
      </c>
      <c r="AI350" s="16" t="n">
        <v>0.257134873117422</v>
      </c>
      <c r="AJ350" s="16" t="n">
        <v>0</v>
      </c>
      <c r="AK350" s="16" t="n">
        <v>0</v>
      </c>
      <c r="AL350" s="16" t="n">
        <v>0</v>
      </c>
      <c r="AM350" s="16" t="n">
        <v>5.49243836985337</v>
      </c>
      <c r="AN350" s="16" t="n">
        <v>867.693433088092</v>
      </c>
      <c r="AO350" s="16" t="n">
        <v>0</v>
      </c>
      <c r="AP350" s="16" t="n">
        <v>238.161944512217</v>
      </c>
      <c r="AQ350" s="14" t="n">
        <v>55.6380554877825</v>
      </c>
      <c r="AR350" s="14" t="s">
        <v>594</v>
      </c>
      <c r="AS350" s="29" t="n">
        <v>46327</v>
      </c>
      <c r="AT350" s="14" t="n">
        <v>130.355973966656</v>
      </c>
      <c r="AU350" s="17" t="n">
        <v>6.65633807707228</v>
      </c>
      <c r="AV350" s="17" t="n">
        <v>2.45924961036126</v>
      </c>
      <c r="AW350" s="16" t="n">
        <v>0</v>
      </c>
      <c r="AX350" s="14" t="s">
        <v>257</v>
      </c>
      <c r="AY350" s="14" t="s">
        <v>361</v>
      </c>
      <c r="AZ350" s="14" t="s">
        <v>461</v>
      </c>
      <c r="BA350" s="14" t="s">
        <v>259</v>
      </c>
      <c r="BB350" s="14" t="s">
        <v>643</v>
      </c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</row>
    <row r="351" customFormat="false" ht="15" hidden="false" customHeight="false" outlineLevel="0" collapsed="false">
      <c r="C351" s="14" t="s">
        <v>299</v>
      </c>
      <c r="D351" s="14" t="s">
        <v>300</v>
      </c>
      <c r="E351" s="14" t="s">
        <v>330</v>
      </c>
      <c r="F351" s="14" t="s">
        <v>253</v>
      </c>
      <c r="G351" s="29" t="n">
        <v>46722</v>
      </c>
      <c r="H351" s="29" t="n">
        <v>46752</v>
      </c>
      <c r="I351" s="14" t="s">
        <v>328</v>
      </c>
      <c r="J351" s="14" t="s">
        <v>303</v>
      </c>
      <c r="K351" s="14" t="n">
        <v>31</v>
      </c>
      <c r="L351" s="16" t="n">
        <v>85.0029744581412</v>
      </c>
      <c r="M351" s="30" t="n">
        <v>22.9096754759419</v>
      </c>
      <c r="N351" s="16" t="n">
        <v>3.61736573486182</v>
      </c>
      <c r="O351" s="16" t="n">
        <v>-7.50586264815323</v>
      </c>
      <c r="P351" s="16" t="n">
        <v>0</v>
      </c>
      <c r="Q351" s="16" t="n">
        <v>0.000575553966678696</v>
      </c>
      <c r="R351" s="16" t="n">
        <v>-2.97510410603494</v>
      </c>
      <c r="S351" s="16" t="n">
        <v>0</v>
      </c>
      <c r="T351" s="16" t="n">
        <v>0.642837182793555</v>
      </c>
      <c r="U351" s="16" t="n">
        <v>0</v>
      </c>
      <c r="V351" s="16" t="n">
        <v>0</v>
      </c>
      <c r="W351" s="16" t="n">
        <v>566.912488575875</v>
      </c>
      <c r="X351" s="16" t="n">
        <v>0</v>
      </c>
      <c r="Y351" s="16" t="n">
        <v>0</v>
      </c>
      <c r="Z351" s="16" t="n">
        <v>0</v>
      </c>
      <c r="AA351" s="16" t="n">
        <v>0</v>
      </c>
      <c r="AB351" s="16" t="n">
        <v>0</v>
      </c>
      <c r="AC351" s="16" t="n">
        <v>566.912488575875</v>
      </c>
      <c r="AD351" s="16" t="n">
        <v>238.161944512217</v>
      </c>
      <c r="AE351" s="16" t="n">
        <v>0</v>
      </c>
      <c r="AF351" s="16" t="n">
        <v>0</v>
      </c>
      <c r="AG351" s="16" t="n">
        <v>238.161944512217</v>
      </c>
      <c r="AH351" s="16" t="n">
        <v>5.74957324297079</v>
      </c>
      <c r="AI351" s="16" t="n">
        <v>0.642837182793555</v>
      </c>
      <c r="AJ351" s="16" t="n">
        <v>0</v>
      </c>
      <c r="AK351" s="16" t="n">
        <v>0</v>
      </c>
      <c r="AL351" s="16" t="n">
        <v>0</v>
      </c>
      <c r="AM351" s="16" t="n">
        <v>5.10673606017724</v>
      </c>
      <c r="AN351" s="16" t="n">
        <v>867.693433088092</v>
      </c>
      <c r="AO351" s="16" t="n">
        <v>0</v>
      </c>
      <c r="AP351" s="16" t="n">
        <v>238.161944512217</v>
      </c>
      <c r="AQ351" s="14" t="n">
        <v>55.6380554877825</v>
      </c>
      <c r="AR351" s="14" t="s">
        <v>594</v>
      </c>
      <c r="AS351" s="29" t="n">
        <v>46327</v>
      </c>
      <c r="AT351" s="14" t="n">
        <v>130.355883530251</v>
      </c>
      <c r="AU351" s="17" t="n">
        <v>6.65634269500946</v>
      </c>
      <c r="AV351" s="17" t="n">
        <v>2.73463368074599</v>
      </c>
      <c r="AW351" s="16" t="n">
        <v>0</v>
      </c>
      <c r="AX351" s="14" t="s">
        <v>257</v>
      </c>
      <c r="AY351" s="14" t="s">
        <v>361</v>
      </c>
      <c r="AZ351" s="14" t="s">
        <v>461</v>
      </c>
      <c r="BA351" s="14" t="s">
        <v>259</v>
      </c>
      <c r="BB351" s="14" t="s">
        <v>644</v>
      </c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</row>
    <row r="352" customFormat="false" ht="15" hidden="false" customHeight="false" outlineLevel="0" collapsed="false">
      <c r="C352" s="14" t="s">
        <v>299</v>
      </c>
      <c r="D352" s="14" t="s">
        <v>300</v>
      </c>
      <c r="E352" s="14" t="s">
        <v>332</v>
      </c>
      <c r="F352" s="14" t="s">
        <v>253</v>
      </c>
      <c r="G352" s="29" t="n">
        <v>46753</v>
      </c>
      <c r="H352" s="29" t="n">
        <v>46783</v>
      </c>
      <c r="I352" s="14" t="s">
        <v>328</v>
      </c>
      <c r="J352" s="14" t="s">
        <v>303</v>
      </c>
      <c r="K352" s="14" t="n">
        <v>31</v>
      </c>
      <c r="L352" s="16" t="n">
        <v>221.007733591167</v>
      </c>
      <c r="M352" s="30" t="n">
        <v>22.9096754759419</v>
      </c>
      <c r="N352" s="16" t="n">
        <v>9.40515091064073</v>
      </c>
      <c r="O352" s="16" t="n">
        <v>-7.50586264815323</v>
      </c>
      <c r="P352" s="16" t="n">
        <v>0</v>
      </c>
      <c r="Q352" s="16" t="n">
        <v>0.00149644031336461</v>
      </c>
      <c r="R352" s="16" t="n">
        <v>-7.73527067569085</v>
      </c>
      <c r="S352" s="16" t="n">
        <v>0</v>
      </c>
      <c r="T352" s="16" t="n">
        <v>1.67137667526324</v>
      </c>
      <c r="U352" s="16" t="n">
        <v>0</v>
      </c>
      <c r="V352" s="16" t="n">
        <v>0</v>
      </c>
      <c r="W352" s="16" t="n">
        <v>566.912488575875</v>
      </c>
      <c r="X352" s="16" t="n">
        <v>11.90625</v>
      </c>
      <c r="Y352" s="16" t="n">
        <v>0</v>
      </c>
      <c r="Z352" s="16" t="n">
        <v>0</v>
      </c>
      <c r="AA352" s="16" t="n">
        <v>0</v>
      </c>
      <c r="AB352" s="16" t="n">
        <v>0</v>
      </c>
      <c r="AC352" s="16" t="n">
        <v>566.912488575875</v>
      </c>
      <c r="AD352" s="16" t="n">
        <v>238.161944512217</v>
      </c>
      <c r="AE352" s="16" t="n">
        <v>0</v>
      </c>
      <c r="AF352" s="16" t="n">
        <v>0</v>
      </c>
      <c r="AG352" s="16" t="n">
        <v>238.161944512217</v>
      </c>
      <c r="AH352" s="16" t="n">
        <v>5.70705800859579</v>
      </c>
      <c r="AI352" s="16" t="n">
        <v>1.67137667526324</v>
      </c>
      <c r="AJ352" s="16" t="n">
        <v>0</v>
      </c>
      <c r="AK352" s="16" t="n">
        <v>0</v>
      </c>
      <c r="AL352" s="16" t="n">
        <v>0</v>
      </c>
      <c r="AM352" s="16" t="n">
        <v>4.03568133333255</v>
      </c>
      <c r="AN352" s="16" t="n">
        <v>867.693433088092</v>
      </c>
      <c r="AO352" s="16" t="n">
        <v>0</v>
      </c>
      <c r="AP352" s="16" t="n">
        <v>238.161944512217</v>
      </c>
      <c r="AQ352" s="14" t="n">
        <v>55.6380554877825</v>
      </c>
      <c r="AR352" s="14" t="s">
        <v>594</v>
      </c>
      <c r="AS352" s="29" t="n">
        <v>46327</v>
      </c>
      <c r="AT352" s="14" t="n">
        <v>130.3556483956</v>
      </c>
      <c r="AU352" s="17" t="n">
        <v>6.65635470167612</v>
      </c>
      <c r="AV352" s="17" t="n">
        <v>3.00347211195658</v>
      </c>
      <c r="AW352" s="16" t="n">
        <v>0</v>
      </c>
      <c r="AX352" s="14" t="s">
        <v>257</v>
      </c>
      <c r="AY352" s="14" t="s">
        <v>361</v>
      </c>
      <c r="AZ352" s="14" t="s">
        <v>461</v>
      </c>
      <c r="BA352" s="14" t="s">
        <v>259</v>
      </c>
      <c r="BB352" s="14" t="s">
        <v>645</v>
      </c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</row>
    <row r="353" customFormat="false" ht="15" hidden="false" customHeight="false" outlineLevel="0" collapsed="false">
      <c r="C353" s="14" t="s">
        <v>299</v>
      </c>
      <c r="D353" s="14" t="s">
        <v>300</v>
      </c>
      <c r="E353" s="14" t="s">
        <v>334</v>
      </c>
      <c r="F353" s="14" t="s">
        <v>335</v>
      </c>
      <c r="G353" s="29" t="n">
        <v>46784</v>
      </c>
      <c r="H353" s="29" t="n">
        <v>46873</v>
      </c>
      <c r="I353" s="14" t="s">
        <v>328</v>
      </c>
      <c r="J353" s="14" t="s">
        <v>255</v>
      </c>
      <c r="K353" s="14" t="n">
        <v>90</v>
      </c>
      <c r="L353" s="16" t="n">
        <v>398.150777198583</v>
      </c>
      <c r="M353" s="30" t="n">
        <v>28.8693217195837</v>
      </c>
      <c r="N353" s="16" t="n">
        <v>43.6581154980704</v>
      </c>
      <c r="O353" s="16" t="n">
        <v>-25.4689813068893</v>
      </c>
      <c r="P353" s="16" t="n">
        <v>-5.31135298700195</v>
      </c>
      <c r="Q353" s="16" t="n">
        <v>32.0373336585349</v>
      </c>
      <c r="R353" s="16" t="n">
        <v>-13.9352772019504</v>
      </c>
      <c r="S353" s="16" t="n">
        <v>0</v>
      </c>
      <c r="T353" s="16" t="n">
        <v>56.4488189676529</v>
      </c>
      <c r="U353" s="16" t="n">
        <v>0</v>
      </c>
      <c r="V353" s="16" t="n">
        <v>23.5874543997131</v>
      </c>
      <c r="W353" s="16" t="n">
        <v>566.912488575875</v>
      </c>
      <c r="X353" s="16" t="n">
        <v>11.90625</v>
      </c>
      <c r="Y353" s="16" t="n">
        <v>11.90625</v>
      </c>
      <c r="Z353" s="16" t="n">
        <v>0</v>
      </c>
      <c r="AA353" s="16" t="n">
        <v>0</v>
      </c>
      <c r="AB353" s="16" t="n">
        <v>0</v>
      </c>
      <c r="AC353" s="16" t="n">
        <v>555.006238575875</v>
      </c>
      <c r="AD353" s="16" t="n">
        <v>238.161944512217</v>
      </c>
      <c r="AE353" s="16" t="n">
        <v>0</v>
      </c>
      <c r="AF353" s="16" t="n">
        <v>0</v>
      </c>
      <c r="AG353" s="16" t="n">
        <v>238.161944512217</v>
      </c>
      <c r="AH353" s="16" t="n">
        <v>16.4031144364493</v>
      </c>
      <c r="AI353" s="16" t="n">
        <v>16.4031144364493</v>
      </c>
      <c r="AJ353" s="16" t="n">
        <v>1.30200013149053</v>
      </c>
      <c r="AK353" s="16" t="n">
        <v>2.41666666666667</v>
      </c>
      <c r="AL353" s="16" t="n">
        <v>0.833333333333333</v>
      </c>
      <c r="AM353" s="16" t="n">
        <v>0.405499868509466</v>
      </c>
      <c r="AN353" s="16" t="n">
        <v>855.787183088092</v>
      </c>
      <c r="AO353" s="16" t="n">
        <v>0</v>
      </c>
      <c r="AP353" s="16" t="n">
        <v>238.161944512217</v>
      </c>
      <c r="AQ353" s="14" t="n">
        <v>55.6380554877825</v>
      </c>
      <c r="AR353" s="14" t="s">
        <v>594</v>
      </c>
      <c r="AS353" s="29" t="n">
        <v>46327</v>
      </c>
      <c r="AT353" s="14" t="n">
        <v>134.727341995943</v>
      </c>
      <c r="AU353" s="17" t="n">
        <v>6.35199336979323</v>
      </c>
      <c r="AV353" s="17" t="n">
        <v>3.02714967781387</v>
      </c>
      <c r="AW353" s="16" t="n">
        <v>0</v>
      </c>
      <c r="AX353" s="14" t="s">
        <v>257</v>
      </c>
      <c r="AY353" s="14" t="s">
        <v>361</v>
      </c>
      <c r="AZ353" s="14" t="s">
        <v>455</v>
      </c>
      <c r="BA353" s="14" t="s">
        <v>259</v>
      </c>
      <c r="BB353" s="14" t="s">
        <v>646</v>
      </c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</row>
    <row r="354" customFormat="false" ht="15" hidden="false" customHeight="false" outlineLevel="0" collapsed="false">
      <c r="C354" s="14" t="s">
        <v>299</v>
      </c>
      <c r="D354" s="14" t="s">
        <v>300</v>
      </c>
      <c r="E354" s="14" t="s">
        <v>337</v>
      </c>
      <c r="F354" s="14" t="s">
        <v>335</v>
      </c>
      <c r="G354" s="29" t="n">
        <v>46874</v>
      </c>
      <c r="H354" s="29" t="n">
        <v>46965</v>
      </c>
      <c r="I354" s="14" t="s">
        <v>328</v>
      </c>
      <c r="J354" s="14" t="s">
        <v>271</v>
      </c>
      <c r="K354" s="14" t="n">
        <v>92</v>
      </c>
      <c r="L354" s="16" t="n">
        <v>450.664628462803</v>
      </c>
      <c r="M354" s="30" t="n">
        <v>27.6901735836919</v>
      </c>
      <c r="N354" s="16" t="n">
        <v>47.4823568705127</v>
      </c>
      <c r="O354" s="16" t="n">
        <v>-27.8778167751957</v>
      </c>
      <c r="P354" s="16" t="n">
        <v>-5.52838590127115</v>
      </c>
      <c r="Q354" s="16" t="n">
        <v>29.5553832872862</v>
      </c>
      <c r="R354" s="16" t="n">
        <v>-15.7732619961981</v>
      </c>
      <c r="S354" s="16" t="n">
        <v>0</v>
      </c>
      <c r="T354" s="16" t="n">
        <v>55.7360922603297</v>
      </c>
      <c r="U354" s="16" t="n">
        <v>23.5874543997131</v>
      </c>
      <c r="V354" s="16" t="n">
        <v>25</v>
      </c>
      <c r="W354" s="16" t="n">
        <v>555.006238575875</v>
      </c>
      <c r="X354" s="16" t="n">
        <v>11.90625</v>
      </c>
      <c r="Y354" s="16" t="n">
        <v>11.90625</v>
      </c>
      <c r="Z354" s="16" t="n">
        <v>0</v>
      </c>
      <c r="AA354" s="16" t="n">
        <v>0</v>
      </c>
      <c r="AB354" s="16" t="n">
        <v>0</v>
      </c>
      <c r="AC354" s="16" t="n">
        <v>543.099988575875</v>
      </c>
      <c r="AD354" s="16" t="n">
        <v>238.161944512217</v>
      </c>
      <c r="AE354" s="16" t="n">
        <v>0</v>
      </c>
      <c r="AF354" s="16" t="n">
        <v>20.5549130491864</v>
      </c>
      <c r="AG354" s="16" t="n">
        <v>217.607031463031</v>
      </c>
      <c r="AH354" s="16" t="n">
        <v>15.2798836108564</v>
      </c>
      <c r="AI354" s="16" t="n">
        <v>15.2798836108564</v>
      </c>
      <c r="AJ354" s="16" t="n">
        <v>1.7075</v>
      </c>
      <c r="AK354" s="16" t="n">
        <v>3.625</v>
      </c>
      <c r="AL354" s="16" t="n">
        <v>1.25</v>
      </c>
      <c r="AM354" s="16" t="n">
        <v>0</v>
      </c>
      <c r="AN354" s="16" t="n">
        <v>823.326020038906</v>
      </c>
      <c r="AO354" s="16" t="n">
        <v>0</v>
      </c>
      <c r="AP354" s="16" t="n">
        <v>238.161944512217</v>
      </c>
      <c r="AQ354" s="14" t="n">
        <v>76.1929685369689</v>
      </c>
      <c r="AR354" s="14" t="s">
        <v>594</v>
      </c>
      <c r="AS354" s="29" t="n">
        <v>46327</v>
      </c>
      <c r="AT354" s="14" t="n">
        <v>144.171353042936</v>
      </c>
      <c r="AU354" s="17" t="n">
        <v>5.71074629363927</v>
      </c>
      <c r="AV354" s="17" t="n">
        <v>3.06205839225413</v>
      </c>
      <c r="AW354" s="16" t="n">
        <v>0</v>
      </c>
      <c r="AX354" s="14" t="s">
        <v>257</v>
      </c>
      <c r="AY354" s="14" t="s">
        <v>257</v>
      </c>
      <c r="AZ354" s="14" t="s">
        <v>373</v>
      </c>
      <c r="BA354" s="14" t="s">
        <v>259</v>
      </c>
      <c r="BB354" s="14" t="s">
        <v>647</v>
      </c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</row>
    <row r="355" customFormat="false" ht="15" hidden="false" customHeight="false" outlineLevel="0" collapsed="false">
      <c r="C355" s="14" t="s">
        <v>299</v>
      </c>
      <c r="D355" s="14" t="s">
        <v>300</v>
      </c>
      <c r="E355" s="14" t="s">
        <v>339</v>
      </c>
      <c r="F355" s="14" t="s">
        <v>335</v>
      </c>
      <c r="G355" s="29" t="n">
        <v>46966</v>
      </c>
      <c r="H355" s="29" t="n">
        <v>47057</v>
      </c>
      <c r="I355" s="14" t="s">
        <v>328</v>
      </c>
      <c r="J355" s="14" t="s">
        <v>288</v>
      </c>
      <c r="K355" s="14" t="n">
        <v>92</v>
      </c>
      <c r="L355" s="16" t="n">
        <v>460.420706720346</v>
      </c>
      <c r="M355" s="30" t="n">
        <v>27.9159174302794</v>
      </c>
      <c r="N355" s="16" t="n">
        <v>53.0027911688484</v>
      </c>
      <c r="O355" s="16" t="n">
        <v>-27.5723430028742</v>
      </c>
      <c r="P355" s="16" t="n">
        <v>-6.77119718653666</v>
      </c>
      <c r="Q355" s="16" t="n">
        <v>28.3341955420845</v>
      </c>
      <c r="R355" s="16" t="n">
        <v>-16.1147247352121</v>
      </c>
      <c r="S355" s="16" t="n">
        <v>0</v>
      </c>
      <c r="T355" s="16" t="n">
        <v>58.4510647891841</v>
      </c>
      <c r="U355" s="16" t="n">
        <v>25</v>
      </c>
      <c r="V355" s="16" t="n">
        <v>25</v>
      </c>
      <c r="W355" s="16" t="n">
        <v>543.099988575875</v>
      </c>
      <c r="X355" s="16" t="n">
        <v>11.90625</v>
      </c>
      <c r="Y355" s="16" t="n">
        <v>11.90625</v>
      </c>
      <c r="Z355" s="16" t="n">
        <v>0</v>
      </c>
      <c r="AA355" s="16" t="n">
        <v>0</v>
      </c>
      <c r="AB355" s="16" t="n">
        <v>0</v>
      </c>
      <c r="AC355" s="16" t="n">
        <v>531.193738575875</v>
      </c>
      <c r="AD355" s="16" t="n">
        <v>217.607031463031</v>
      </c>
      <c r="AE355" s="16" t="n">
        <v>0</v>
      </c>
      <c r="AF355" s="16" t="n">
        <v>26.1044456012095</v>
      </c>
      <c r="AG355" s="16" t="n">
        <v>191.502585861822</v>
      </c>
      <c r="AH355" s="16" t="n">
        <v>13.8578691879747</v>
      </c>
      <c r="AI355" s="16" t="n">
        <v>13.8578691879747</v>
      </c>
      <c r="AJ355" s="16" t="n">
        <v>1.7075</v>
      </c>
      <c r="AK355" s="16" t="n">
        <v>3.625</v>
      </c>
      <c r="AL355" s="16" t="n">
        <v>1.25</v>
      </c>
      <c r="AM355" s="16" t="n">
        <v>0</v>
      </c>
      <c r="AN355" s="16" t="n">
        <v>785.315324437696</v>
      </c>
      <c r="AO355" s="16" t="n">
        <v>0</v>
      </c>
      <c r="AP355" s="16" t="n">
        <v>217.607031463031</v>
      </c>
      <c r="AQ355" s="14" t="n">
        <v>102.297414138178</v>
      </c>
      <c r="AR355" s="14" t="s">
        <v>594</v>
      </c>
      <c r="AS355" s="29" t="n">
        <v>46327</v>
      </c>
      <c r="AT355" s="14" t="n">
        <v>158.612726476879</v>
      </c>
      <c r="AU355" s="17" t="n">
        <v>4.951149519217</v>
      </c>
      <c r="AV355" s="17" t="n">
        <v>3.29672461121868</v>
      </c>
      <c r="AW355" s="16" t="n">
        <v>0</v>
      </c>
      <c r="AX355" s="14" t="s">
        <v>257</v>
      </c>
      <c r="AY355" s="14" t="s">
        <v>257</v>
      </c>
      <c r="AZ355" s="14" t="s">
        <v>373</v>
      </c>
      <c r="BA355" s="14" t="s">
        <v>259</v>
      </c>
      <c r="BB355" s="14" t="s">
        <v>648</v>
      </c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</row>
    <row r="356" customFormat="false" ht="15" hidden="false" customHeight="false" outlineLevel="0" collapsed="false">
      <c r="C356" s="14" t="s">
        <v>299</v>
      </c>
      <c r="D356" s="14" t="s">
        <v>300</v>
      </c>
      <c r="E356" s="14" t="s">
        <v>341</v>
      </c>
      <c r="F356" s="14" t="s">
        <v>335</v>
      </c>
      <c r="G356" s="29" t="n">
        <v>47058</v>
      </c>
      <c r="H356" s="29" t="n">
        <v>47149</v>
      </c>
      <c r="I356" s="14" t="s">
        <v>342</v>
      </c>
      <c r="J356" s="14" t="s">
        <v>303</v>
      </c>
      <c r="K356" s="14" t="n">
        <v>92</v>
      </c>
      <c r="L356" s="16" t="n">
        <v>388.003877187136</v>
      </c>
      <c r="M356" s="30" t="n">
        <v>22.9096754759419</v>
      </c>
      <c r="N356" s="16" t="n">
        <v>28.1519141588936</v>
      </c>
      <c r="O356" s="16" t="n">
        <v>-22.5170250047611</v>
      </c>
      <c r="P356" s="16" t="n">
        <v>-1.57759997606883</v>
      </c>
      <c r="Q356" s="16" t="n">
        <v>29.1491159280904</v>
      </c>
      <c r="R356" s="16" t="n">
        <v>-13.5801357015498</v>
      </c>
      <c r="S356" s="16" t="n">
        <v>0</v>
      </c>
      <c r="T356" s="16" t="n">
        <v>42.1432944093654</v>
      </c>
      <c r="U356" s="16" t="n">
        <v>25</v>
      </c>
      <c r="V356" s="16" t="n">
        <v>25</v>
      </c>
      <c r="W356" s="16" t="n">
        <v>531.193738575875</v>
      </c>
      <c r="X356" s="16" t="n">
        <v>11.90625</v>
      </c>
      <c r="Y356" s="16" t="n">
        <v>11.90625</v>
      </c>
      <c r="Z356" s="16" t="n">
        <v>0</v>
      </c>
      <c r="AA356" s="16" t="n">
        <v>0</v>
      </c>
      <c r="AB356" s="16" t="n">
        <v>0</v>
      </c>
      <c r="AC356" s="16" t="n">
        <v>519.287488575875</v>
      </c>
      <c r="AD356" s="16" t="n">
        <v>191.502585861822</v>
      </c>
      <c r="AE356" s="16" t="n">
        <v>0</v>
      </c>
      <c r="AF356" s="16" t="n">
        <v>11.2235113090457</v>
      </c>
      <c r="AG356" s="16" t="n">
        <v>180.279074552776</v>
      </c>
      <c r="AH356" s="16" t="n">
        <v>12.5140331003197</v>
      </c>
      <c r="AI356" s="16" t="n">
        <v>12.5140331003197</v>
      </c>
      <c r="AJ356" s="16" t="n">
        <v>1.6245</v>
      </c>
      <c r="AK356" s="16" t="n">
        <v>3.625</v>
      </c>
      <c r="AL356" s="16" t="n">
        <v>1.25</v>
      </c>
      <c r="AM356" s="16" t="n">
        <v>0</v>
      </c>
      <c r="AN356" s="16" t="n">
        <v>762.185563128651</v>
      </c>
      <c r="AO356" s="16" t="n">
        <v>0</v>
      </c>
      <c r="AP356" s="16" t="n">
        <v>191.502585861822</v>
      </c>
      <c r="AQ356" s="14" t="n">
        <v>113.520925447224</v>
      </c>
      <c r="AR356" s="14" t="s">
        <v>594</v>
      </c>
      <c r="AS356" s="29" t="n">
        <v>46327</v>
      </c>
      <c r="AT356" s="14" t="n">
        <v>172.295177696325</v>
      </c>
      <c r="AU356" s="17" t="n">
        <v>4.42371964972823</v>
      </c>
      <c r="AV356" s="17" t="n">
        <v>2.96779732116208</v>
      </c>
      <c r="AW356" s="16" t="n">
        <v>0</v>
      </c>
      <c r="AX356" s="14" t="s">
        <v>257</v>
      </c>
      <c r="AY356" s="14" t="s">
        <v>257</v>
      </c>
      <c r="AZ356" s="14" t="s">
        <v>373</v>
      </c>
      <c r="BA356" s="14" t="s">
        <v>259</v>
      </c>
      <c r="BB356" s="14" t="s">
        <v>649</v>
      </c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</row>
    <row r="357" customFormat="false" ht="15" hidden="false" customHeight="false" outlineLevel="0" collapsed="false">
      <c r="C357" s="14" t="s">
        <v>299</v>
      </c>
      <c r="D357" s="14" t="s">
        <v>300</v>
      </c>
      <c r="E357" s="14" t="s">
        <v>344</v>
      </c>
      <c r="F357" s="14" t="s">
        <v>335</v>
      </c>
      <c r="G357" s="29" t="n">
        <v>47150</v>
      </c>
      <c r="H357" s="29" t="n">
        <v>47238</v>
      </c>
      <c r="I357" s="14" t="s">
        <v>342</v>
      </c>
      <c r="J357" s="14" t="s">
        <v>255</v>
      </c>
      <c r="K357" s="14" t="n">
        <v>89</v>
      </c>
      <c r="L357" s="16" t="n">
        <v>452.432753896764</v>
      </c>
      <c r="M357" s="30" t="n">
        <v>28.8693217195837</v>
      </c>
      <c r="N357" s="16" t="n">
        <v>63.1832372137017</v>
      </c>
      <c r="O357" s="16" t="n">
        <v>-25.4683445823567</v>
      </c>
      <c r="P357" s="16" t="n">
        <v>-9.42872315783627</v>
      </c>
      <c r="Q357" s="16" t="n">
        <v>30.560044798288</v>
      </c>
      <c r="R357" s="16" t="n">
        <v>-15.8351463863867</v>
      </c>
      <c r="S357" s="16" t="n">
        <v>0</v>
      </c>
      <c r="T357" s="16" t="n">
        <v>68.4794124677668</v>
      </c>
      <c r="U357" s="16" t="n">
        <v>25</v>
      </c>
      <c r="V357" s="16" t="n">
        <v>25</v>
      </c>
      <c r="W357" s="16" t="n">
        <v>519.287488575875</v>
      </c>
      <c r="X357" s="16" t="n">
        <v>11.90625</v>
      </c>
      <c r="Y357" s="16" t="n">
        <v>11.90625</v>
      </c>
      <c r="Z357" s="16" t="n">
        <v>0</v>
      </c>
      <c r="AA357" s="16" t="n">
        <v>0</v>
      </c>
      <c r="AB357" s="16" t="n">
        <v>0</v>
      </c>
      <c r="AC357" s="16" t="n">
        <v>507.381238575875</v>
      </c>
      <c r="AD357" s="16" t="n">
        <v>180.279074552776</v>
      </c>
      <c r="AE357" s="16" t="n">
        <v>0</v>
      </c>
      <c r="AF357" s="16" t="n">
        <v>39.0003346932453</v>
      </c>
      <c r="AG357" s="16" t="n">
        <v>141.278739859531</v>
      </c>
      <c r="AH357" s="16" t="n">
        <v>11.0733277745215</v>
      </c>
      <c r="AI357" s="16" t="n">
        <v>11.0733277745215</v>
      </c>
      <c r="AJ357" s="16" t="n">
        <v>1.6245</v>
      </c>
      <c r="AK357" s="16" t="n">
        <v>3.625</v>
      </c>
      <c r="AL357" s="16" t="n">
        <v>1.25</v>
      </c>
      <c r="AM357" s="16" t="n">
        <v>0</v>
      </c>
      <c r="AN357" s="16" t="n">
        <v>711.278978435405</v>
      </c>
      <c r="AO357" s="16" t="n">
        <v>0</v>
      </c>
      <c r="AP357" s="16" t="n">
        <v>163.403032498195</v>
      </c>
      <c r="AQ357" s="14" t="n">
        <v>152.521260140469</v>
      </c>
      <c r="AR357" s="14" t="s">
        <v>594</v>
      </c>
      <c r="AS357" s="29" t="n">
        <v>46327</v>
      </c>
      <c r="AT357" s="14" t="n">
        <v>191.820299411956</v>
      </c>
      <c r="AU357" s="17" t="n">
        <v>3.70804852570817</v>
      </c>
      <c r="AV357" s="17" t="n">
        <v>3.63812016791801</v>
      </c>
      <c r="AW357" s="16" t="n">
        <v>0</v>
      </c>
      <c r="AX357" s="14" t="s">
        <v>257</v>
      </c>
      <c r="AY357" s="14" t="s">
        <v>257</v>
      </c>
      <c r="AZ357" s="14" t="s">
        <v>373</v>
      </c>
      <c r="BA357" s="14" t="s">
        <v>259</v>
      </c>
      <c r="BB357" s="14" t="s">
        <v>650</v>
      </c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</row>
    <row r="358" customFormat="false" ht="15" hidden="false" customHeight="false" outlineLevel="0" collapsed="false">
      <c r="C358" s="14" t="s">
        <v>299</v>
      </c>
      <c r="D358" s="14" t="s">
        <v>300</v>
      </c>
      <c r="E358" s="14" t="s">
        <v>346</v>
      </c>
      <c r="F358" s="14" t="s">
        <v>335</v>
      </c>
      <c r="G358" s="29" t="n">
        <v>47239</v>
      </c>
      <c r="H358" s="29" t="n">
        <v>47330</v>
      </c>
      <c r="I358" s="14" t="s">
        <v>342</v>
      </c>
      <c r="J358" s="14" t="s">
        <v>271</v>
      </c>
      <c r="K358" s="14" t="n">
        <v>92</v>
      </c>
      <c r="L358" s="16" t="n">
        <v>495.223474557243</v>
      </c>
      <c r="M358" s="30" t="n">
        <v>27.6901735836919</v>
      </c>
      <c r="N358" s="16" t="n">
        <v>63.3196378606049</v>
      </c>
      <c r="O358" s="16" t="n">
        <v>-27.8771198297763</v>
      </c>
      <c r="P358" s="16" t="n">
        <v>-8.86062950770715</v>
      </c>
      <c r="Q358" s="16" t="n">
        <v>-5.56236379791506</v>
      </c>
      <c r="R358" s="16" t="n">
        <v>-17.3328216095035</v>
      </c>
      <c r="S358" s="16" t="n">
        <v>0</v>
      </c>
      <c r="T358" s="16" t="n">
        <v>31.5638229454792</v>
      </c>
      <c r="U358" s="16" t="n">
        <v>25</v>
      </c>
      <c r="V358" s="16" t="n">
        <v>17.9825902491092</v>
      </c>
      <c r="W358" s="16" t="n">
        <v>507.381238575875</v>
      </c>
      <c r="X358" s="16" t="n">
        <v>11.90625</v>
      </c>
      <c r="Y358" s="16" t="n">
        <v>11.90625</v>
      </c>
      <c r="Z358" s="16" t="n">
        <v>0</v>
      </c>
      <c r="AA358" s="16" t="n">
        <v>0</v>
      </c>
      <c r="AB358" s="16" t="n">
        <v>0</v>
      </c>
      <c r="AC358" s="16" t="n">
        <v>495.474988575875</v>
      </c>
      <c r="AD358" s="16" t="n">
        <v>141.278739859531</v>
      </c>
      <c r="AE358" s="16" t="n">
        <v>0</v>
      </c>
      <c r="AF358" s="16" t="n">
        <v>9.65953543530563</v>
      </c>
      <c r="AG358" s="16" t="n">
        <v>131.619204424225</v>
      </c>
      <c r="AH358" s="16" t="n">
        <v>10.5159472610644</v>
      </c>
      <c r="AI358" s="16" t="n">
        <v>10.5159472610644</v>
      </c>
      <c r="AJ358" s="16" t="n">
        <v>1.6245</v>
      </c>
      <c r="AK358" s="16" t="n">
        <v>3.625</v>
      </c>
      <c r="AL358" s="16" t="n">
        <v>1.25</v>
      </c>
      <c r="AM358" s="16" t="n">
        <v>0</v>
      </c>
      <c r="AN358" s="16" t="n">
        <v>689.7131930001</v>
      </c>
      <c r="AO358" s="16" t="n">
        <v>0</v>
      </c>
      <c r="AP358" s="16" t="n">
        <v>136.462193631005</v>
      </c>
      <c r="AQ358" s="14" t="n">
        <v>162.180795575775</v>
      </c>
      <c r="AR358" s="14" t="s">
        <v>594</v>
      </c>
      <c r="AS358" s="29" t="n">
        <v>46327</v>
      </c>
      <c r="AT358" s="14" t="n">
        <v>207.657580402049</v>
      </c>
      <c r="AU358" s="17" t="n">
        <v>3.32139665532429</v>
      </c>
      <c r="AV358" s="17" t="n">
        <v>4.32970147917229</v>
      </c>
      <c r="AW358" s="16" t="n">
        <v>0</v>
      </c>
      <c r="AX358" s="14" t="s">
        <v>257</v>
      </c>
      <c r="AY358" s="14" t="s">
        <v>257</v>
      </c>
      <c r="AZ358" s="14" t="s">
        <v>455</v>
      </c>
      <c r="BA358" s="14" t="s">
        <v>259</v>
      </c>
      <c r="BB358" s="14" t="s">
        <v>651</v>
      </c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</row>
    <row r="359" customFormat="false" ht="15" hidden="false" customHeight="false" outlineLevel="0" collapsed="false">
      <c r="C359" s="14" t="s">
        <v>299</v>
      </c>
      <c r="D359" s="14" t="s">
        <v>300</v>
      </c>
      <c r="E359" s="14" t="s">
        <v>348</v>
      </c>
      <c r="F359" s="14" t="s">
        <v>335</v>
      </c>
      <c r="G359" s="29" t="n">
        <v>47331</v>
      </c>
      <c r="H359" s="29" t="n">
        <v>47422</v>
      </c>
      <c r="I359" s="14" t="s">
        <v>342</v>
      </c>
      <c r="J359" s="14" t="s">
        <v>288</v>
      </c>
      <c r="K359" s="14" t="n">
        <v>92</v>
      </c>
      <c r="L359" s="16" t="n">
        <v>489.797017236892</v>
      </c>
      <c r="M359" s="30" t="n">
        <v>27.9159174302794</v>
      </c>
      <c r="N359" s="16" t="n">
        <v>63.7314936618185</v>
      </c>
      <c r="O359" s="16" t="n">
        <v>-27.5716536942991</v>
      </c>
      <c r="P359" s="16" t="n">
        <v>-9.03995999187983</v>
      </c>
      <c r="Q359" s="16" t="n">
        <v>-3.63818299158489</v>
      </c>
      <c r="R359" s="16" t="n">
        <v>-17.1428956032912</v>
      </c>
      <c r="S359" s="16" t="n">
        <v>0</v>
      </c>
      <c r="T359" s="16" t="n">
        <v>33.9104550750625</v>
      </c>
      <c r="U359" s="16" t="n">
        <v>17.9825902491092</v>
      </c>
      <c r="V359" s="16" t="n">
        <v>18.854088239909</v>
      </c>
      <c r="W359" s="16" t="n">
        <v>495.474988575875</v>
      </c>
      <c r="X359" s="16" t="n">
        <v>11.90625</v>
      </c>
      <c r="Y359" s="16" t="n">
        <v>11.90625</v>
      </c>
      <c r="Z359" s="16" t="n">
        <v>0</v>
      </c>
      <c r="AA359" s="16" t="n">
        <v>0</v>
      </c>
      <c r="AB359" s="16" t="n">
        <v>0</v>
      </c>
      <c r="AC359" s="16" t="n">
        <v>483.568738575875</v>
      </c>
      <c r="AD359" s="16" t="n">
        <v>131.619204424225</v>
      </c>
      <c r="AE359" s="16" t="n">
        <v>0</v>
      </c>
      <c r="AF359" s="16" t="n">
        <v>4.40192916689347</v>
      </c>
      <c r="AG359" s="16" t="n">
        <v>127.217275257332</v>
      </c>
      <c r="AH359" s="16" t="n">
        <v>10.2312779173692</v>
      </c>
      <c r="AI359" s="16" t="n">
        <v>10.2312779173692</v>
      </c>
      <c r="AJ359" s="16" t="n">
        <v>1.6245</v>
      </c>
      <c r="AK359" s="16" t="n">
        <v>3.625</v>
      </c>
      <c r="AL359" s="16" t="n">
        <v>1.25</v>
      </c>
      <c r="AM359" s="16" t="n">
        <v>0</v>
      </c>
      <c r="AN359" s="16" t="n">
        <v>673.405013833206</v>
      </c>
      <c r="AO359" s="16" t="n">
        <v>0</v>
      </c>
      <c r="AP359" s="16" t="n">
        <v>131.619204424225</v>
      </c>
      <c r="AQ359" s="14" t="n">
        <v>166.582724742668</v>
      </c>
      <c r="AR359" s="14" t="s">
        <v>594</v>
      </c>
      <c r="AS359" s="29" t="n">
        <v>46327</v>
      </c>
      <c r="AT359" s="14" t="n">
        <v>218.386282895019</v>
      </c>
      <c r="AU359" s="17" t="n">
        <v>3.08354995976062</v>
      </c>
      <c r="AV359" s="17" t="n">
        <v>4.92586719164569</v>
      </c>
      <c r="AW359" s="16" t="n">
        <v>0</v>
      </c>
      <c r="AX359" s="14" t="s">
        <v>257</v>
      </c>
      <c r="AY359" s="14" t="s">
        <v>257</v>
      </c>
      <c r="AZ359" s="14" t="s">
        <v>455</v>
      </c>
      <c r="BA359" s="14" t="s">
        <v>259</v>
      </c>
      <c r="BB359" s="14" t="s">
        <v>652</v>
      </c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</row>
    <row r="360" customFormat="false" ht="15" hidden="false" customHeight="false" outlineLevel="0" collapsed="false">
      <c r="C360" s="14" t="s">
        <v>299</v>
      </c>
      <c r="D360" s="14" t="s">
        <v>300</v>
      </c>
      <c r="E360" s="14" t="s">
        <v>350</v>
      </c>
      <c r="F360" s="14" t="s">
        <v>335</v>
      </c>
      <c r="G360" s="29" t="n">
        <v>47423</v>
      </c>
      <c r="H360" s="29" t="n">
        <v>47514</v>
      </c>
      <c r="I360" s="14" t="s">
        <v>351</v>
      </c>
      <c r="J360" s="14" t="s">
        <v>303</v>
      </c>
      <c r="K360" s="14" t="n">
        <v>92</v>
      </c>
      <c r="L360" s="16" t="n">
        <v>399.993997000213</v>
      </c>
      <c r="M360" s="30" t="n">
        <v>22.9096754759419</v>
      </c>
      <c r="N360" s="16" t="n">
        <v>32.0218213290888</v>
      </c>
      <c r="O360" s="16" t="n">
        <v>-22.516462079136</v>
      </c>
      <c r="P360" s="16" t="n">
        <v>-2.37633981248821</v>
      </c>
      <c r="Q360" s="16" t="n">
        <v>-1.53612114393274</v>
      </c>
      <c r="R360" s="16" t="n">
        <v>-13.9997898950074</v>
      </c>
      <c r="S360" s="16" t="n">
        <v>0</v>
      </c>
      <c r="T360" s="16" t="n">
        <v>14.1095704776604</v>
      </c>
      <c r="U360" s="16" t="n">
        <v>18.854088239909</v>
      </c>
      <c r="V360" s="16" t="n">
        <v>4.64634179973404</v>
      </c>
      <c r="W360" s="16" t="n">
        <v>483.568738575875</v>
      </c>
      <c r="X360" s="16" t="n">
        <v>11.90625</v>
      </c>
      <c r="Y360" s="16" t="n">
        <v>11.90625</v>
      </c>
      <c r="Z360" s="16" t="n">
        <v>0</v>
      </c>
      <c r="AA360" s="16" t="n">
        <v>0</v>
      </c>
      <c r="AB360" s="16" t="n">
        <v>0</v>
      </c>
      <c r="AC360" s="16" t="n">
        <v>471.662488575875</v>
      </c>
      <c r="AD360" s="16" t="n">
        <v>127.217275257332</v>
      </c>
      <c r="AE360" s="16" t="n">
        <v>0</v>
      </c>
      <c r="AF360" s="16" t="n">
        <v>0</v>
      </c>
      <c r="AG360" s="16" t="n">
        <v>127.217275257332</v>
      </c>
      <c r="AH360" s="16" t="n">
        <v>9.99956691783541</v>
      </c>
      <c r="AI360" s="16" t="n">
        <v>9.99956691783541</v>
      </c>
      <c r="AJ360" s="16" t="n">
        <v>1.5365</v>
      </c>
      <c r="AK360" s="16" t="n">
        <v>3.625</v>
      </c>
      <c r="AL360" s="16" t="n">
        <v>1.25</v>
      </c>
      <c r="AM360" s="16" t="n">
        <v>0</v>
      </c>
      <c r="AN360" s="16" t="n">
        <v>661.498763833206</v>
      </c>
      <c r="AO360" s="16" t="n">
        <v>0</v>
      </c>
      <c r="AP360" s="16" t="n">
        <v>127.217275257332</v>
      </c>
      <c r="AQ360" s="14" t="n">
        <v>166.582724742668</v>
      </c>
      <c r="AR360" s="14" t="s">
        <v>594</v>
      </c>
      <c r="AS360" s="29" t="n">
        <v>46327</v>
      </c>
      <c r="AT360" s="14" t="n">
        <v>222.256190065214</v>
      </c>
      <c r="AU360" s="17" t="n">
        <v>2.97628949564514</v>
      </c>
      <c r="AV360" s="17" t="n">
        <v>5.31457563373581</v>
      </c>
      <c r="AW360" s="16" t="n">
        <v>0</v>
      </c>
      <c r="AX360" s="14" t="s">
        <v>257</v>
      </c>
      <c r="AY360" s="14" t="s">
        <v>257</v>
      </c>
      <c r="AZ360" s="14" t="s">
        <v>455</v>
      </c>
      <c r="BA360" s="14" t="s">
        <v>259</v>
      </c>
      <c r="BB360" s="14" t="s">
        <v>653</v>
      </c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</row>
    <row r="361" customFormat="false" ht="15" hidden="false" customHeight="false" outlineLevel="0" collapsed="false">
      <c r="C361" s="14" t="s">
        <v>299</v>
      </c>
      <c r="D361" s="14" t="s">
        <v>300</v>
      </c>
      <c r="E361" s="14" t="s">
        <v>353</v>
      </c>
      <c r="F361" s="14" t="s">
        <v>335</v>
      </c>
      <c r="G361" s="29" t="n">
        <v>47515</v>
      </c>
      <c r="H361" s="29" t="n">
        <v>47603</v>
      </c>
      <c r="I361" s="14" t="s">
        <v>351</v>
      </c>
      <c r="J361" s="14" t="s">
        <v>255</v>
      </c>
      <c r="K361" s="14" t="n">
        <v>89</v>
      </c>
      <c r="L361" s="16" t="n">
        <v>452.421443077917</v>
      </c>
      <c r="M361" s="30" t="n">
        <v>28.8693217195837</v>
      </c>
      <c r="N361" s="16" t="n">
        <v>63.1816576327714</v>
      </c>
      <c r="O361" s="16" t="n">
        <v>-25.4677078737421</v>
      </c>
      <c r="P361" s="16" t="n">
        <v>-9.42848743975732</v>
      </c>
      <c r="Q361" s="16" t="n">
        <v>0.00165728527647751</v>
      </c>
      <c r="R361" s="16" t="n">
        <v>-15.8347505077271</v>
      </c>
      <c r="S361" s="16" t="n">
        <v>0</v>
      </c>
      <c r="T361" s="16" t="n">
        <v>37.9200769705635</v>
      </c>
      <c r="U361" s="16" t="n">
        <v>4.64634179973404</v>
      </c>
      <c r="V361" s="16" t="n">
        <v>14.4446620087121</v>
      </c>
      <c r="W361" s="16" t="n">
        <v>471.662488575875</v>
      </c>
      <c r="X361" s="16" t="n">
        <v>11.90625</v>
      </c>
      <c r="Y361" s="16" t="n">
        <v>11.90625</v>
      </c>
      <c r="Z361" s="16" t="n">
        <v>0</v>
      </c>
      <c r="AA361" s="16" t="n">
        <v>0</v>
      </c>
      <c r="AB361" s="16" t="n">
        <v>0</v>
      </c>
      <c r="AC361" s="16" t="n">
        <v>459.756238575875</v>
      </c>
      <c r="AD361" s="16" t="n">
        <v>127.217275257332</v>
      </c>
      <c r="AE361" s="16" t="n">
        <v>0</v>
      </c>
      <c r="AF361" s="16" t="n">
        <v>0</v>
      </c>
      <c r="AG361" s="16" t="n">
        <v>127.217275257332</v>
      </c>
      <c r="AH361" s="16" t="n">
        <v>9.80400676158541</v>
      </c>
      <c r="AI361" s="16" t="n">
        <v>9.80400676158541</v>
      </c>
      <c r="AJ361" s="16" t="n">
        <v>1.5365</v>
      </c>
      <c r="AK361" s="16" t="n">
        <v>3.625</v>
      </c>
      <c r="AL361" s="16" t="n">
        <v>1.25</v>
      </c>
      <c r="AM361" s="16" t="n">
        <v>0</v>
      </c>
      <c r="AN361" s="16" t="n">
        <v>649.592513833206</v>
      </c>
      <c r="AO361" s="16" t="n">
        <v>0</v>
      </c>
      <c r="AP361" s="16" t="n">
        <v>127.217275257332</v>
      </c>
      <c r="AQ361" s="14" t="n">
        <v>166.582724742668</v>
      </c>
      <c r="AR361" s="14" t="s">
        <v>594</v>
      </c>
      <c r="AS361" s="29" t="n">
        <v>46327</v>
      </c>
      <c r="AT361" s="14" t="n">
        <v>222.254610484284</v>
      </c>
      <c r="AU361" s="17" t="n">
        <v>2.92274033109041</v>
      </c>
      <c r="AV361" s="17" t="n">
        <v>5.48089351490629</v>
      </c>
      <c r="AW361" s="16" t="n">
        <v>0</v>
      </c>
      <c r="AX361" s="14" t="s">
        <v>257</v>
      </c>
      <c r="AY361" s="14" t="s">
        <v>257</v>
      </c>
      <c r="AZ361" s="14" t="s">
        <v>455</v>
      </c>
      <c r="BA361" s="14" t="s">
        <v>259</v>
      </c>
      <c r="BB361" s="14" t="s">
        <v>654</v>
      </c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</row>
    <row r="362" customFormat="false" ht="15" hidden="false" customHeight="false" outlineLevel="0" collapsed="false">
      <c r="C362" s="14" t="s">
        <v>299</v>
      </c>
      <c r="D362" s="14" t="s">
        <v>300</v>
      </c>
      <c r="E362" s="14" t="s">
        <v>355</v>
      </c>
      <c r="F362" s="14" t="s">
        <v>335</v>
      </c>
      <c r="G362" s="29" t="n">
        <v>47604</v>
      </c>
      <c r="H362" s="29" t="n">
        <v>47695</v>
      </c>
      <c r="I362" s="14" t="s">
        <v>351</v>
      </c>
      <c r="J362" s="14" t="s">
        <v>271</v>
      </c>
      <c r="K362" s="14" t="n">
        <v>92</v>
      </c>
      <c r="L362" s="16" t="n">
        <v>495.211093970379</v>
      </c>
      <c r="M362" s="30" t="n">
        <v>27.6901735836919</v>
      </c>
      <c r="N362" s="16" t="n">
        <v>63.3180548696584</v>
      </c>
      <c r="O362" s="16" t="n">
        <v>-27.8764229017806</v>
      </c>
      <c r="P362" s="16" t="n">
        <v>-8.86040799196946</v>
      </c>
      <c r="Q362" s="16" t="n">
        <v>0.00182870502781671</v>
      </c>
      <c r="R362" s="16" t="n">
        <v>-17.3323882889633</v>
      </c>
      <c r="S362" s="16" t="n">
        <v>0</v>
      </c>
      <c r="T362" s="16" t="n">
        <v>37.1270872937535</v>
      </c>
      <c r="U362" s="16" t="n">
        <v>14.4446620087121</v>
      </c>
      <c r="V362" s="16" t="n">
        <v>20.1703766078848</v>
      </c>
      <c r="W362" s="16" t="n">
        <v>459.756238575875</v>
      </c>
      <c r="X362" s="16" t="n">
        <v>11.90625</v>
      </c>
      <c r="Y362" s="16" t="n">
        <v>11.90625</v>
      </c>
      <c r="Z362" s="16" t="n">
        <v>0</v>
      </c>
      <c r="AA362" s="16" t="n">
        <v>0</v>
      </c>
      <c r="AB362" s="16" t="n">
        <v>0</v>
      </c>
      <c r="AC362" s="16" t="n">
        <v>447.849988575875</v>
      </c>
      <c r="AD362" s="16" t="n">
        <v>127.217275257332</v>
      </c>
      <c r="AE362" s="16" t="n">
        <v>0</v>
      </c>
      <c r="AF362" s="16" t="n">
        <v>3.50395229748798</v>
      </c>
      <c r="AG362" s="16" t="n">
        <v>123.713322959844</v>
      </c>
      <c r="AH362" s="16" t="n">
        <v>9.57967039709283</v>
      </c>
      <c r="AI362" s="16" t="n">
        <v>9.57967039709283</v>
      </c>
      <c r="AJ362" s="16" t="n">
        <v>1.5365</v>
      </c>
      <c r="AK362" s="16" t="n">
        <v>3.625</v>
      </c>
      <c r="AL362" s="16" t="n">
        <v>1.25</v>
      </c>
      <c r="AM362" s="16" t="n">
        <v>0</v>
      </c>
      <c r="AN362" s="16" t="n">
        <v>634.182311535718</v>
      </c>
      <c r="AO362" s="16" t="n">
        <v>0</v>
      </c>
      <c r="AP362" s="16" t="n">
        <v>127.217275257332</v>
      </c>
      <c r="AQ362" s="14" t="n">
        <v>170.086677040156</v>
      </c>
      <c r="AR362" s="14" t="s">
        <v>594</v>
      </c>
      <c r="AS362" s="29" t="n">
        <v>46327</v>
      </c>
      <c r="AT362" s="14" t="n">
        <v>222.253027493337</v>
      </c>
      <c r="AU362" s="17" t="n">
        <v>2.8534248495433</v>
      </c>
      <c r="AV362" s="17" t="n">
        <v>5.61039276272617</v>
      </c>
      <c r="AW362" s="16" t="n">
        <v>0</v>
      </c>
      <c r="AX362" s="14" t="s">
        <v>257</v>
      </c>
      <c r="AY362" s="14" t="s">
        <v>257</v>
      </c>
      <c r="AZ362" s="14" t="s">
        <v>455</v>
      </c>
      <c r="BA362" s="14" t="s">
        <v>259</v>
      </c>
      <c r="BB362" s="14" t="s">
        <v>655</v>
      </c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</row>
    <row r="363" customFormat="false" ht="15" hidden="false" customHeight="false" outlineLevel="0" collapsed="false">
      <c r="C363" s="14" t="s">
        <v>299</v>
      </c>
      <c r="D363" s="14" t="s">
        <v>300</v>
      </c>
      <c r="E363" s="14" t="s">
        <v>357</v>
      </c>
      <c r="F363" s="14" t="s">
        <v>335</v>
      </c>
      <c r="G363" s="29" t="n">
        <v>47696</v>
      </c>
      <c r="H363" s="29" t="n">
        <v>47787</v>
      </c>
      <c r="I363" s="14" t="s">
        <v>351</v>
      </c>
      <c r="J363" s="14" t="s">
        <v>288</v>
      </c>
      <c r="K363" s="14" t="n">
        <v>92</v>
      </c>
      <c r="L363" s="16" t="n">
        <v>489.784772311461</v>
      </c>
      <c r="M363" s="30" t="n">
        <v>27.9159174302794</v>
      </c>
      <c r="N363" s="16" t="n">
        <v>63.7299003744769</v>
      </c>
      <c r="O363" s="16" t="n">
        <v>-27.5709644029568</v>
      </c>
      <c r="P363" s="16" t="n">
        <v>-9.03973399288004</v>
      </c>
      <c r="Q363" s="16" t="n">
        <v>0.00180588811739999</v>
      </c>
      <c r="R363" s="16" t="n">
        <v>-17.1424670309011</v>
      </c>
      <c r="S363" s="16" t="n">
        <v>0</v>
      </c>
      <c r="T363" s="16" t="n">
        <v>37.5495052388131</v>
      </c>
      <c r="U363" s="16" t="n">
        <v>20.1703766078848</v>
      </c>
      <c r="V363" s="16" t="n">
        <v>20.4295331927628</v>
      </c>
      <c r="W363" s="16" t="n">
        <v>447.849988575875</v>
      </c>
      <c r="X363" s="16" t="n">
        <v>11.90625</v>
      </c>
      <c r="Y363" s="16" t="n">
        <v>11.90625</v>
      </c>
      <c r="Z363" s="16" t="n">
        <v>0</v>
      </c>
      <c r="AA363" s="16" t="n">
        <v>0</v>
      </c>
      <c r="AB363" s="16" t="n">
        <v>0</v>
      </c>
      <c r="AC363" s="16" t="n">
        <v>435.943738575875</v>
      </c>
      <c r="AD363" s="16" t="n">
        <v>123.713322959844</v>
      </c>
      <c r="AE363" s="16" t="n">
        <v>0</v>
      </c>
      <c r="AF363" s="16" t="n">
        <v>9.71029852811462</v>
      </c>
      <c r="AG363" s="16" t="n">
        <v>114.003024431729</v>
      </c>
      <c r="AH363" s="16" t="n">
        <v>9.26230012582055</v>
      </c>
      <c r="AI363" s="16" t="n">
        <v>9.26230012582055</v>
      </c>
      <c r="AJ363" s="16" t="n">
        <v>1.5365</v>
      </c>
      <c r="AK363" s="16" t="n">
        <v>3.625</v>
      </c>
      <c r="AL363" s="16" t="n">
        <v>1.25</v>
      </c>
      <c r="AM363" s="16" t="n">
        <v>0</v>
      </c>
      <c r="AN363" s="16" t="n">
        <v>612.565763007604</v>
      </c>
      <c r="AO363" s="16" t="n">
        <v>0</v>
      </c>
      <c r="AP363" s="16" t="n">
        <v>121.286276362954</v>
      </c>
      <c r="AQ363" s="14" t="n">
        <v>179.796975568271</v>
      </c>
      <c r="AR363" s="14" t="s">
        <v>594</v>
      </c>
      <c r="AS363" s="29" t="n">
        <v>46327</v>
      </c>
      <c r="AT363" s="14" t="n">
        <v>222.251434205996</v>
      </c>
      <c r="AU363" s="17" t="n">
        <v>2.75618362237358</v>
      </c>
      <c r="AV363" s="17" t="n">
        <v>5.75102353436574</v>
      </c>
      <c r="AW363" s="16" t="n">
        <v>0</v>
      </c>
      <c r="AX363" s="14" t="s">
        <v>257</v>
      </c>
      <c r="AY363" s="14" t="s">
        <v>257</v>
      </c>
      <c r="AZ363" s="14" t="s">
        <v>455</v>
      </c>
      <c r="BA363" s="14" t="s">
        <v>259</v>
      </c>
      <c r="BB363" s="14" t="s">
        <v>656</v>
      </c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</row>
    <row r="364" customFormat="false" ht="15" hidden="false" customHeight="false" outlineLevel="0" collapsed="false">
      <c r="C364" s="14" t="s">
        <v>299</v>
      </c>
      <c r="D364" s="14" t="s">
        <v>300</v>
      </c>
      <c r="E364" s="14" t="s">
        <v>359</v>
      </c>
      <c r="F364" s="14" t="s">
        <v>335</v>
      </c>
      <c r="G364" s="29" t="n">
        <v>47788</v>
      </c>
      <c r="H364" s="29" t="n">
        <v>47879</v>
      </c>
      <c r="I364" s="14" t="s">
        <v>360</v>
      </c>
      <c r="J364" s="14" t="s">
        <v>303</v>
      </c>
      <c r="K364" s="14" t="n">
        <v>92</v>
      </c>
      <c r="L364" s="16" t="n">
        <v>399.983997150288</v>
      </c>
      <c r="M364" s="30" t="n">
        <v>22.9096754759419</v>
      </c>
      <c r="N364" s="16" t="n">
        <v>32.0210207835556</v>
      </c>
      <c r="O364" s="16" t="n">
        <v>-22.515899167584</v>
      </c>
      <c r="P364" s="16" t="n">
        <v>-2.3762804039929</v>
      </c>
      <c r="Q364" s="16" t="n">
        <v>0.00152510724725765</v>
      </c>
      <c r="R364" s="16" t="n">
        <v>-13.9994399002601</v>
      </c>
      <c r="S364" s="16" t="n">
        <v>0</v>
      </c>
      <c r="T364" s="16" t="n">
        <v>15.6468255865499</v>
      </c>
      <c r="U364" s="16" t="n">
        <v>20.4295331927628</v>
      </c>
      <c r="V364" s="16" t="n">
        <v>8.75832655628774</v>
      </c>
      <c r="W364" s="16" t="n">
        <v>435.943738575875</v>
      </c>
      <c r="X364" s="16" t="n">
        <v>11.90625</v>
      </c>
      <c r="Y364" s="16" t="n">
        <v>11.90625</v>
      </c>
      <c r="Z364" s="16" t="n">
        <v>0</v>
      </c>
      <c r="AA364" s="16" t="n">
        <v>538.040513007604</v>
      </c>
      <c r="AB364" s="16" t="n">
        <v>0</v>
      </c>
      <c r="AC364" s="16" t="n">
        <v>424.037488575875</v>
      </c>
      <c r="AD364" s="16" t="n">
        <v>114.003024431729</v>
      </c>
      <c r="AE364" s="16" t="n">
        <v>0</v>
      </c>
      <c r="AF364" s="16" t="n">
        <v>0</v>
      </c>
      <c r="AG364" s="16" t="n">
        <v>114.003024431729</v>
      </c>
      <c r="AH364" s="16" t="n">
        <v>9.00028222302489</v>
      </c>
      <c r="AI364" s="16" t="n">
        <v>9.00028222302489</v>
      </c>
      <c r="AJ364" s="16" t="n">
        <v>1.5365</v>
      </c>
      <c r="AK364" s="16" t="n">
        <v>3.625</v>
      </c>
      <c r="AL364" s="16" t="n">
        <v>1.25</v>
      </c>
      <c r="AM364" s="16" t="n">
        <v>0</v>
      </c>
      <c r="AN364" s="16" t="n">
        <v>600.659513007604</v>
      </c>
      <c r="AO364" s="16" t="n">
        <v>0</v>
      </c>
      <c r="AP364" s="16" t="n">
        <v>114.003024431729</v>
      </c>
      <c r="AQ364" s="14" t="n">
        <v>0</v>
      </c>
      <c r="AR364" s="14" t="s">
        <v>594</v>
      </c>
      <c r="AS364" s="29" t="n">
        <v>46327</v>
      </c>
      <c r="AT364" s="14" t="n">
        <v>222.250633660462</v>
      </c>
      <c r="AU364" s="17" t="n">
        <v>2.70262227429797</v>
      </c>
      <c r="AV364" s="17" t="n">
        <v>5.90365780207314</v>
      </c>
      <c r="AW364" s="16" t="n">
        <v>538.040513007604</v>
      </c>
      <c r="AX364" s="14" t="s">
        <v>361</v>
      </c>
      <c r="AY364" s="14" t="s">
        <v>257</v>
      </c>
      <c r="AZ364" s="14" t="s">
        <v>455</v>
      </c>
      <c r="BA364" s="14" t="s">
        <v>259</v>
      </c>
      <c r="BB364" s="14" t="s">
        <v>657</v>
      </c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</row>
  </sheetData>
  <conditionalFormatting sqref="J12:J21">
    <cfRule type="containsText" priority="2" operator="containsText" aboveAverage="0" equalAverage="0" bottom="0" percent="0" rank="0" text="BREACH" dxfId="15">
      <formula>NOT(ISERROR(SEARCH("BREACH",J12)))</formula>
    </cfRule>
    <cfRule type="containsText" priority="3" operator="containsText" aboveAverage="0" equalAverage="0" bottom="0" percent="0" rank="0" text="FAIL" dxfId="16">
      <formula>NOT(ISERROR(SEARCH("FAIL",J12)))</formula>
    </cfRule>
    <cfRule type="containsText" priority="4" operator="containsText" aboveAverage="0" equalAverage="0" bottom="0" percent="0" rank="0" text="WARNING" dxfId="17">
      <formula>NOT(ISERROR(SEARCH("WARNING",J12)))</formula>
    </cfRule>
    <cfRule type="containsText" priority="5" operator="containsText" aboveAverage="0" equalAverage="0" bottom="0" percent="0" rank="0" text="STALE" dxfId="18">
      <formula>NOT(ISERROR(SEARCH("STALE",J12)))</formula>
    </cfRule>
    <cfRule type="containsText" priority="6" operator="containsText" aboveAverage="0" equalAverage="0" bottom="0" percent="0" rank="0" text="N/D" dxfId="19">
      <formula>NOT(ISERROR(SEARCH("N/D",J12)))</formula>
    </cfRule>
  </conditionalFormatting>
  <dataValidations count="1">
    <dataValidation allowBlank="false" errorStyle="stop" operator="between" showDropDown="false" showErrorMessage="false" showInputMessage="false" sqref="D4" type="list">
      <formula1>"Base,Moderate unmitigated,Moderate mitigated,Severe unmitigated,Severe mitigated,Moderate Phase 6 analytical shutoff,Severe Phase 6 analytical shutoff,Moderate Phase 7 covenant-linked no-waiver,Severe Phase 7 covenant-linked no-waiver"</formula1>
      <formula2>0</formula2>
    </dataValidation>
  </dataValidations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A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38"/>
    <col collapsed="false" customWidth="true" hidden="false" outlineLevel="0" max="4" min="4" style="1" width="31"/>
    <col collapsed="false" customWidth="true" hidden="false" outlineLevel="0" max="5" min="5" style="1" width="17"/>
    <col collapsed="false" customWidth="true" hidden="false" outlineLevel="0" max="7" min="6" style="1" width="14"/>
    <col collapsed="false" customWidth="true" hidden="false" outlineLevel="0" max="8" min="8" style="1" width="17"/>
    <col collapsed="false" customWidth="true" hidden="false" outlineLevel="0" max="10" min="9" style="1" width="14"/>
    <col collapsed="false" customWidth="true" hidden="false" outlineLevel="0" max="11" min="11" style="1" width="15"/>
    <col collapsed="false" customWidth="true" hidden="false" outlineLevel="0" max="12" min="12" style="1" width="13"/>
    <col collapsed="false" customWidth="true" hidden="false" outlineLevel="0" max="13" min="13" style="1" width="14"/>
    <col collapsed="false" customWidth="true" hidden="false" outlineLevel="0" max="14" min="14" style="1" width="15"/>
    <col collapsed="false" customWidth="true" hidden="false" outlineLevel="0" max="15" min="15" style="1" width="17"/>
    <col collapsed="false" customWidth="true" hidden="false" outlineLevel="0" max="20" min="16" style="1" width="14"/>
    <col collapsed="false" customWidth="true" hidden="false" outlineLevel="0" max="22" min="21" style="1" width="16"/>
    <col collapsed="false" customWidth="true" hidden="false" outlineLevel="0" max="23" min="23" style="1" width="17"/>
    <col collapsed="false" customWidth="true" hidden="false" outlineLevel="0" max="25" min="24" style="1" width="15"/>
    <col collapsed="false" customWidth="true" hidden="false" outlineLevel="0" max="26" min="26" style="1" width="21"/>
    <col collapsed="false" customWidth="true" hidden="false" outlineLevel="0" max="27" min="27" style="1" width="18"/>
    <col collapsed="false" customWidth="true" hidden="false" outlineLevel="0" max="28" min="28" style="1" width="22"/>
    <col collapsed="false" customWidth="true" hidden="false" outlineLevel="0" max="30" min="29" style="1" width="18"/>
    <col collapsed="false" customWidth="true" hidden="false" outlineLevel="0" max="31" min="31" style="1" width="14"/>
  </cols>
  <sheetData>
    <row r="2" customFormat="false" ht="18.55" hidden="false" customHeight="false" outlineLevel="0" collapsed="false">
      <c r="C2" s="2" t="s">
        <v>658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customFormat="false" ht="15" hidden="false" customHeight="false" outlineLevel="0" collapsed="false">
      <c r="C3" s="4" t="s">
        <v>1</v>
      </c>
      <c r="D3" s="31" t="str">
        <f aca="false">Assumptions!$D$4</f>
        <v>Base</v>
      </c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customFormat="false" ht="39.55" hidden="false" customHeight="false" outlineLevel="0" collapsed="false">
      <c r="C4" s="10" t="s">
        <v>659</v>
      </c>
      <c r="D4" s="11" t="s">
        <v>63</v>
      </c>
      <c r="E4" s="11" t="s">
        <v>7</v>
      </c>
      <c r="F4" s="11" t="s">
        <v>660</v>
      </c>
      <c r="G4" s="11" t="s">
        <v>661</v>
      </c>
      <c r="H4" s="11" t="s">
        <v>34</v>
      </c>
      <c r="I4" s="11" t="s">
        <v>662</v>
      </c>
      <c r="J4" s="11" t="s">
        <v>41</v>
      </c>
      <c r="K4" s="11" t="s">
        <v>663</v>
      </c>
      <c r="L4" s="11" t="s">
        <v>158</v>
      </c>
      <c r="M4" s="11" t="s">
        <v>664</v>
      </c>
      <c r="N4" s="11" t="s">
        <v>665</v>
      </c>
      <c r="O4" s="11" t="s">
        <v>666</v>
      </c>
      <c r="P4" s="11" t="s">
        <v>667</v>
      </c>
      <c r="Q4" s="11" t="s">
        <v>668</v>
      </c>
      <c r="R4" s="11" t="s">
        <v>669</v>
      </c>
      <c r="S4" s="11" t="s">
        <v>11</v>
      </c>
      <c r="T4" s="11" t="s">
        <v>670</v>
      </c>
      <c r="U4" s="11" t="s">
        <v>18</v>
      </c>
      <c r="V4" s="11" t="s">
        <v>671</v>
      </c>
      <c r="W4" s="11" t="s">
        <v>672</v>
      </c>
      <c r="X4" s="11" t="s">
        <v>24</v>
      </c>
      <c r="Y4" s="12" t="s">
        <v>673</v>
      </c>
      <c r="Z4" s="3"/>
      <c r="AA4" s="3"/>
      <c r="AB4" s="3"/>
      <c r="AC4" s="3"/>
      <c r="AD4" s="3"/>
      <c r="AE4" s="3"/>
    </row>
    <row r="5" customFormat="false" ht="15" hidden="false" customHeight="false" outlineLevel="0" collapsed="false">
      <c r="C5" s="14" t="str">
        <f aca="false">"LIVE"</f>
        <v>LIVE</v>
      </c>
      <c r="D5" s="14" t="str">
        <f aca="false">Assumptions!D5</f>
        <v>BASE</v>
      </c>
      <c r="E5" s="14" t="str">
        <f aca="false">"Current selection"</f>
        <v>Current selection</v>
      </c>
      <c r="F5" s="16" t="n">
        <f aca="false">SUM(Forecast!D14:F14)</f>
        <v>190.248637027189</v>
      </c>
      <c r="G5" s="30" t="n">
        <f aca="false">SUM(Forecast!D14:F14)/SUM(Forecast!D10:F10)</f>
        <v>0.132341256528793</v>
      </c>
      <c r="H5" s="16" t="n">
        <f aca="false">SUM(Forecast!D24:W24)</f>
        <v>794.48407033444</v>
      </c>
      <c r="I5" s="16" t="n">
        <f aca="false">SUM(Forecast!D22:W22)</f>
        <v>640.308509979563</v>
      </c>
      <c r="J5" s="16" t="n">
        <f aca="false">SUM('Debt Schedule'!T12:T47)</f>
        <v>167.38574634971</v>
      </c>
      <c r="K5" s="16" t="n">
        <f aca="false">SUM('Debt Schedule'!K12:K47)</f>
        <v>238.125</v>
      </c>
      <c r="L5" s="16" t="n">
        <f aca="false">SUM('Debt Schedule'!L12:L47)</f>
        <v>57.2921681522332</v>
      </c>
      <c r="M5" s="16" t="n">
        <f aca="false">MAX('Debt Schedule'!R12:R47)</f>
        <v>23.458654616224</v>
      </c>
      <c r="N5" s="16" t="n">
        <f aca="false">Liquidity!D6</f>
        <v>263.90228125</v>
      </c>
      <c r="O5" s="16" t="n">
        <f aca="false">Liquidity!D7</f>
        <v>270.341345383776</v>
      </c>
      <c r="P5" s="16" t="n">
        <f aca="false">Liquidity!D9</f>
        <v>263.90228125</v>
      </c>
      <c r="Q5" s="17" t="n">
        <f aca="false">MAX(Covenants!H8:H27)</f>
        <v>3.22847166443304</v>
      </c>
      <c r="R5" s="17" t="n">
        <f aca="false">MIN(Covenants!N8:N27)</f>
        <v>5.38595814351074</v>
      </c>
      <c r="S5" s="29" t="str">
        <f aca="false">INDEX(Assumptions!$BF$41:$BF$49,MATCH(Assumptions!$D$4,Assumptions!$BD$41:$BD$49,0))</f>
        <v>N/D</v>
      </c>
      <c r="T5" s="29" t="str">
        <f aca="false">INDEX(Assumptions!$BG$41:$BG$49,MATCH(Assumptions!$D$4,Assumptions!$BD$41:$BD$49,0))</f>
        <v>N/D</v>
      </c>
      <c r="U5" s="29" t="str">
        <f aca="false">INDEX(Assumptions!$BH$41:$BH$49,MATCH(Assumptions!$D$4,Assumptions!$BD$41:$BD$49,0))</f>
        <v>N/D</v>
      </c>
      <c r="V5" s="29" t="str">
        <f aca="false">INDEX(Assumptions!$BI$41:$BI$49,MATCH(Assumptions!$D$4,Assumptions!$BD$41:$BD$49,0))</f>
        <v>N/D</v>
      </c>
      <c r="W5" s="16" t="n">
        <f aca="false">SUMIFS('Debt Schedule'!Z12:Z47,'Debt Schedule'!D12:D47,DATE(2029,7,31))</f>
        <v>514.75370778618</v>
      </c>
      <c r="X5" s="16" t="n">
        <f aca="false">'Debt Schedule'!X47</f>
        <v>324.779705120148</v>
      </c>
      <c r="Y5" s="16" t="n">
        <f aca="false">SUM('Debt Schedule'!AC12:AC47)</f>
        <v>0</v>
      </c>
      <c r="Z5" s="3"/>
      <c r="AA5" s="3"/>
      <c r="AB5" s="3"/>
      <c r="AC5" s="3"/>
      <c r="AD5" s="3"/>
      <c r="AE5" s="3"/>
    </row>
    <row r="6" customFormat="false" ht="15" hidden="false" customHeight="false" outlineLevel="0" collapsed="false">
      <c r="C6" s="7" t="s">
        <v>674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3"/>
      <c r="AA6" s="3"/>
      <c r="AB6" s="3"/>
      <c r="AC6" s="3"/>
      <c r="AD6" s="3"/>
      <c r="AE6" s="3"/>
    </row>
    <row r="7" customFormat="false" ht="15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customFormat="false" ht="24" hidden="false" customHeight="true" outlineLevel="0" collapsed="false">
      <c r="C8" s="32" t="s">
        <v>675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customFormat="false" ht="15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customFormat="false" ht="15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customFormat="false" ht="39.55" hidden="false" customHeight="false" outlineLevel="0" collapsed="false">
      <c r="C11" s="10" t="s">
        <v>676</v>
      </c>
      <c r="D11" s="11" t="s">
        <v>63</v>
      </c>
      <c r="E11" s="11" t="s">
        <v>659</v>
      </c>
      <c r="F11" s="11" t="s">
        <v>660</v>
      </c>
      <c r="G11" s="11" t="s">
        <v>661</v>
      </c>
      <c r="H11" s="11" t="s">
        <v>34</v>
      </c>
      <c r="I11" s="11" t="s">
        <v>662</v>
      </c>
      <c r="J11" s="11" t="s">
        <v>41</v>
      </c>
      <c r="K11" s="11" t="s">
        <v>663</v>
      </c>
      <c r="L11" s="11" t="s">
        <v>158</v>
      </c>
      <c r="M11" s="11" t="s">
        <v>664</v>
      </c>
      <c r="N11" s="11" t="s">
        <v>665</v>
      </c>
      <c r="O11" s="11" t="s">
        <v>666</v>
      </c>
      <c r="P11" s="11" t="s">
        <v>667</v>
      </c>
      <c r="Q11" s="11" t="s">
        <v>668</v>
      </c>
      <c r="R11" s="11" t="s">
        <v>669</v>
      </c>
      <c r="S11" s="11" t="s">
        <v>11</v>
      </c>
      <c r="T11" s="11" t="s">
        <v>670</v>
      </c>
      <c r="U11" s="11" t="s">
        <v>18</v>
      </c>
      <c r="V11" s="11" t="s">
        <v>671</v>
      </c>
      <c r="W11" s="11" t="s">
        <v>672</v>
      </c>
      <c r="X11" s="11" t="s">
        <v>24</v>
      </c>
      <c r="Y11" s="11" t="s">
        <v>673</v>
      </c>
      <c r="Z11" s="11" t="s">
        <v>677</v>
      </c>
      <c r="AA11" s="11" t="s">
        <v>678</v>
      </c>
      <c r="AB11" s="11" t="s">
        <v>679</v>
      </c>
      <c r="AC11" s="11" t="s">
        <v>680</v>
      </c>
      <c r="AD11" s="11" t="s">
        <v>681</v>
      </c>
      <c r="AE11" s="12" t="s">
        <v>682</v>
      </c>
    </row>
    <row r="12" customFormat="false" ht="15" hidden="false" customHeight="false" outlineLevel="0" collapsed="false">
      <c r="C12" s="14" t="s">
        <v>62</v>
      </c>
      <c r="D12" s="14" t="s">
        <v>251</v>
      </c>
      <c r="E12" s="14" t="str">
        <f aca="false">IF(C12=Assumptions!$D$4,"LIVE SELECTED","CAPTURED")</f>
        <v>LIVE SELECTED</v>
      </c>
      <c r="F12" s="15" t="n">
        <v>190.248637027189</v>
      </c>
      <c r="G12" s="33" t="n">
        <v>0.132341256528793</v>
      </c>
      <c r="H12" s="15" t="n">
        <v>794.48407033444</v>
      </c>
      <c r="I12" s="15" t="n">
        <v>640.308509979562</v>
      </c>
      <c r="J12" s="15" t="n">
        <v>167.38574634971</v>
      </c>
      <c r="K12" s="15" t="n">
        <v>238.125</v>
      </c>
      <c r="L12" s="15" t="n">
        <v>57.2921681522332</v>
      </c>
      <c r="M12" s="15" t="n">
        <v>23.458654616224</v>
      </c>
      <c r="N12" s="15" t="n">
        <v>263.90228125</v>
      </c>
      <c r="O12" s="15" t="n">
        <v>270.341345383776</v>
      </c>
      <c r="P12" s="15" t="n">
        <v>263.90228125</v>
      </c>
      <c r="Q12" s="34" t="n">
        <v>3.22847166443304</v>
      </c>
      <c r="R12" s="34" t="n">
        <v>5.38595814351074</v>
      </c>
      <c r="S12" s="13" t="s">
        <v>49</v>
      </c>
      <c r="T12" s="13" t="s">
        <v>49</v>
      </c>
      <c r="U12" s="13" t="s">
        <v>49</v>
      </c>
      <c r="V12" s="13" t="s">
        <v>49</v>
      </c>
      <c r="W12" s="15" t="n">
        <v>514.75370778618</v>
      </c>
      <c r="X12" s="15" t="n">
        <v>324.779705120148</v>
      </c>
      <c r="Y12" s="15" t="n">
        <v>0</v>
      </c>
      <c r="Z12" s="3" t="s">
        <v>683</v>
      </c>
      <c r="AA12" s="3" t="s">
        <v>65</v>
      </c>
      <c r="AB12" s="3" t="s">
        <v>68</v>
      </c>
      <c r="AC12" s="3" t="n">
        <v>1712129.815968</v>
      </c>
      <c r="AD12" s="14" t="n">
        <f aca="false">Assumptions!$D$7</f>
        <v>1712129.815968</v>
      </c>
      <c r="AE12" s="19" t="str">
        <f aca="false">IF(ABS(AC12-AD12)&lt;=0.000001,"CURRENT","STALE")</f>
        <v>CURRENT</v>
      </c>
    </row>
    <row r="13" customFormat="false" ht="15" hidden="false" customHeight="false" outlineLevel="0" collapsed="false">
      <c r="C13" s="14" t="s">
        <v>263</v>
      </c>
      <c r="D13" s="14" t="s">
        <v>264</v>
      </c>
      <c r="E13" s="14" t="str">
        <f aca="false">IF(C13=Assumptions!$D$4,"LIVE SELECTED","CAPTURED")</f>
        <v>CAPTURED</v>
      </c>
      <c r="F13" s="15" t="n">
        <v>151.000083797019</v>
      </c>
      <c r="G13" s="33" t="n">
        <v>0.112341256528793</v>
      </c>
      <c r="H13" s="15" t="n">
        <v>705.094120928163</v>
      </c>
      <c r="I13" s="15" t="n">
        <v>589.292036323847</v>
      </c>
      <c r="J13" s="15" t="n">
        <v>199.964783255205</v>
      </c>
      <c r="K13" s="15" t="n">
        <v>238.125</v>
      </c>
      <c r="L13" s="15" t="n">
        <v>0</v>
      </c>
      <c r="M13" s="15" t="n">
        <v>128.721590276227</v>
      </c>
      <c r="N13" s="15" t="n">
        <v>263.90228125</v>
      </c>
      <c r="O13" s="15" t="n">
        <v>165.078409723773</v>
      </c>
      <c r="P13" s="15" t="n">
        <v>165.078409723773</v>
      </c>
      <c r="Q13" s="34" t="n">
        <v>4.48925019336222</v>
      </c>
      <c r="R13" s="34" t="n">
        <v>3.21037383225653</v>
      </c>
      <c r="S13" s="35" t="s">
        <v>265</v>
      </c>
      <c r="T13" s="35" t="s">
        <v>265</v>
      </c>
      <c r="U13" s="13" t="s">
        <v>49</v>
      </c>
      <c r="V13" s="13" t="s">
        <v>49</v>
      </c>
      <c r="W13" s="15" t="n">
        <v>569.067126966274</v>
      </c>
      <c r="X13" s="15" t="n">
        <v>408.375215681358</v>
      </c>
      <c r="Y13" s="15" t="n">
        <v>0</v>
      </c>
      <c r="Z13" s="3" t="s">
        <v>683</v>
      </c>
      <c r="AA13" s="3" t="s">
        <v>65</v>
      </c>
      <c r="AB13" s="3" t="s">
        <v>68</v>
      </c>
      <c r="AC13" s="3" t="n">
        <v>1712129.815968</v>
      </c>
      <c r="AD13" s="14" t="n">
        <f aca="false">Assumptions!$D$7</f>
        <v>1712129.815968</v>
      </c>
      <c r="AE13" s="19" t="str">
        <f aca="false">IF(ABS(AC13-AD13)&lt;=0.000001,"CURRENT","STALE")</f>
        <v>CURRENT</v>
      </c>
    </row>
    <row r="14" customFormat="false" ht="15" hidden="false" customHeight="false" outlineLevel="0" collapsed="false">
      <c r="C14" s="14" t="s">
        <v>268</v>
      </c>
      <c r="D14" s="14" t="s">
        <v>269</v>
      </c>
      <c r="E14" s="14" t="str">
        <f aca="false">IF(C14=Assumptions!$D$4,"LIVE SELECTED","CAPTURED")</f>
        <v>CAPTURED</v>
      </c>
      <c r="F14" s="15" t="n">
        <v>151.000083797019</v>
      </c>
      <c r="G14" s="33" t="n">
        <v>0.112341256528793</v>
      </c>
      <c r="H14" s="15" t="n">
        <v>708.586761233622</v>
      </c>
      <c r="I14" s="15" t="n">
        <v>589.292036323847</v>
      </c>
      <c r="J14" s="15" t="n">
        <v>196.472142949746</v>
      </c>
      <c r="K14" s="15" t="n">
        <v>238.125</v>
      </c>
      <c r="L14" s="15" t="n">
        <v>11.8253779383939</v>
      </c>
      <c r="M14" s="15" t="n">
        <v>124.863080440436</v>
      </c>
      <c r="N14" s="15" t="n">
        <v>263.90228125</v>
      </c>
      <c r="O14" s="15" t="n">
        <v>168.936919559564</v>
      </c>
      <c r="P14" s="15" t="n">
        <v>168.936919559564</v>
      </c>
      <c r="Q14" s="34" t="n">
        <v>4.46700610804697</v>
      </c>
      <c r="R14" s="34" t="n">
        <v>3.21683406720596</v>
      </c>
      <c r="S14" s="35" t="s">
        <v>265</v>
      </c>
      <c r="T14" s="35" t="s">
        <v>265</v>
      </c>
      <c r="U14" s="13" t="s">
        <v>49</v>
      </c>
      <c r="V14" s="13" t="s">
        <v>49</v>
      </c>
      <c r="W14" s="15" t="n">
        <v>550.911198626141</v>
      </c>
      <c r="X14" s="15" t="n">
        <v>381.132575375899</v>
      </c>
      <c r="Y14" s="15" t="n">
        <v>0</v>
      </c>
      <c r="Z14" s="3" t="s">
        <v>683</v>
      </c>
      <c r="AA14" s="3" t="s">
        <v>65</v>
      </c>
      <c r="AB14" s="3" t="s">
        <v>68</v>
      </c>
      <c r="AC14" s="3" t="n">
        <v>1712129.815968</v>
      </c>
      <c r="AD14" s="14" t="n">
        <f aca="false">Assumptions!$D$7</f>
        <v>1712129.815968</v>
      </c>
      <c r="AE14" s="19" t="str">
        <f aca="false">IF(ABS(AC14-AD14)&lt;=0.000001,"CURRENT","STALE")</f>
        <v>CURRENT</v>
      </c>
    </row>
    <row r="15" customFormat="false" ht="15" hidden="false" customHeight="false" outlineLevel="0" collapsed="false">
      <c r="C15" s="14" t="s">
        <v>273</v>
      </c>
      <c r="D15" s="14" t="s">
        <v>274</v>
      </c>
      <c r="E15" s="14" t="str">
        <f aca="false">IF(C15=Assumptions!$D$4,"LIVE SELECTED","CAPTURED")</f>
        <v>CAPTURED</v>
      </c>
      <c r="F15" s="15" t="n">
        <v>115.88908268322</v>
      </c>
      <c r="G15" s="33" t="n">
        <v>0.0948412565287928</v>
      </c>
      <c r="H15" s="15" t="n">
        <v>483.562147560111</v>
      </c>
      <c r="I15" s="15" t="n">
        <v>467.100582030011</v>
      </c>
      <c r="J15" s="15" t="n">
        <v>280.896477581403</v>
      </c>
      <c r="K15" s="15" t="n">
        <v>226.21875</v>
      </c>
      <c r="L15" s="15" t="n">
        <v>0</v>
      </c>
      <c r="M15" s="15" t="n">
        <v>293.8</v>
      </c>
      <c r="N15" s="15" t="n">
        <v>263.90228125</v>
      </c>
      <c r="O15" s="15" t="n">
        <v>0</v>
      </c>
      <c r="P15" s="15" t="n">
        <v>0</v>
      </c>
      <c r="Q15" s="34" t="n">
        <v>7.05740145964988</v>
      </c>
      <c r="R15" s="34" t="n">
        <v>1.78193513783129</v>
      </c>
      <c r="S15" s="35" t="s">
        <v>275</v>
      </c>
      <c r="T15" s="35" t="s">
        <v>265</v>
      </c>
      <c r="U15" s="13" t="s">
        <v>49</v>
      </c>
      <c r="V15" s="35" t="s">
        <v>276</v>
      </c>
      <c r="W15" s="15" t="n">
        <v>741.464468329487</v>
      </c>
      <c r="X15" s="15" t="n">
        <v>604.258006632587</v>
      </c>
      <c r="Y15" s="15" t="n">
        <v>9.83047041705291</v>
      </c>
      <c r="Z15" s="3" t="s">
        <v>683</v>
      </c>
      <c r="AA15" s="3" t="s">
        <v>65</v>
      </c>
      <c r="AB15" s="3" t="s">
        <v>68</v>
      </c>
      <c r="AC15" s="3" t="n">
        <v>1712129.815968</v>
      </c>
      <c r="AD15" s="14" t="n">
        <f aca="false">Assumptions!$D$7</f>
        <v>1712129.815968</v>
      </c>
      <c r="AE15" s="19" t="str">
        <f aca="false">IF(ABS(AC15-AD15)&lt;=0.000001,"CURRENT","STALE")</f>
        <v>CURRENT</v>
      </c>
    </row>
    <row r="16" customFormat="false" ht="15" hidden="false" customHeight="false" outlineLevel="0" collapsed="false">
      <c r="C16" s="14" t="s">
        <v>279</v>
      </c>
      <c r="D16" s="14" t="s">
        <v>280</v>
      </c>
      <c r="E16" s="14" t="str">
        <f aca="false">IF(C16=Assumptions!$D$4,"LIVE SELECTED","CAPTURED")</f>
        <v>CAPTURED</v>
      </c>
      <c r="F16" s="15" t="n">
        <v>115.88908268322</v>
      </c>
      <c r="G16" s="33" t="n">
        <v>0.0948412565287928</v>
      </c>
      <c r="H16" s="15" t="n">
        <v>480.377323155278</v>
      </c>
      <c r="I16" s="15" t="n">
        <v>467.100582030011</v>
      </c>
      <c r="J16" s="15" t="n">
        <v>284.081301986236</v>
      </c>
      <c r="K16" s="15" t="n">
        <v>234.537785232833</v>
      </c>
      <c r="L16" s="15" t="n">
        <v>0</v>
      </c>
      <c r="M16" s="15" t="n">
        <v>293.8</v>
      </c>
      <c r="N16" s="15" t="n">
        <v>263.90228125</v>
      </c>
      <c r="O16" s="15" t="n">
        <v>0</v>
      </c>
      <c r="P16" s="15" t="n">
        <v>0</v>
      </c>
      <c r="Q16" s="34" t="n">
        <v>6.95285562418031</v>
      </c>
      <c r="R16" s="34" t="n">
        <v>1.80080804764665</v>
      </c>
      <c r="S16" s="35" t="s">
        <v>275</v>
      </c>
      <c r="T16" s="35" t="s">
        <v>265</v>
      </c>
      <c r="U16" s="13" t="s">
        <v>49</v>
      </c>
      <c r="V16" s="35" t="s">
        <v>281</v>
      </c>
      <c r="W16" s="15" t="n">
        <v>714.072592535274</v>
      </c>
      <c r="X16" s="15" t="n">
        <v>554.718188706225</v>
      </c>
      <c r="Y16" s="15" t="n">
        <v>3.64184207427475</v>
      </c>
      <c r="Z16" s="3" t="s">
        <v>683</v>
      </c>
      <c r="AA16" s="3" t="s">
        <v>65</v>
      </c>
      <c r="AB16" s="3" t="s">
        <v>68</v>
      </c>
      <c r="AC16" s="3" t="n">
        <v>1712129.815968</v>
      </c>
      <c r="AD16" s="14" t="n">
        <f aca="false">Assumptions!$D$7</f>
        <v>1712129.815968</v>
      </c>
      <c r="AE16" s="19" t="str">
        <f aca="false">IF(ABS(AC16-AD16)&lt;=0.000001,"CURRENT","STALE")</f>
        <v>CURRENT</v>
      </c>
    </row>
    <row r="17" customFormat="false" ht="15" hidden="false" customHeight="false" outlineLevel="0" collapsed="false">
      <c r="C17" s="14" t="s">
        <v>284</v>
      </c>
      <c r="D17" s="14" t="s">
        <v>285</v>
      </c>
      <c r="E17" s="14" t="str">
        <f aca="false">IF(C17=Assumptions!$D$4,"LIVE SELECTED","CAPTURED")</f>
        <v>CAPTURED</v>
      </c>
      <c r="F17" s="15" t="n">
        <v>151.000083797019</v>
      </c>
      <c r="G17" s="33" t="n">
        <v>0.112341256528793</v>
      </c>
      <c r="H17" s="15" t="n">
        <v>706.251348498204</v>
      </c>
      <c r="I17" s="15" t="n">
        <v>589.292036323847</v>
      </c>
      <c r="J17" s="15" t="n">
        <v>198.807555685164</v>
      </c>
      <c r="K17" s="15" t="n">
        <v>238.125</v>
      </c>
      <c r="L17" s="15" t="n">
        <v>0</v>
      </c>
      <c r="M17" s="15" t="n">
        <v>110.321900004086</v>
      </c>
      <c r="N17" s="15" t="n">
        <v>263.90228125</v>
      </c>
      <c r="O17" s="15" t="n">
        <v>183.478099995914</v>
      </c>
      <c r="P17" s="15" t="n">
        <v>183.478099995914</v>
      </c>
      <c r="Q17" s="34" t="n">
        <v>4.37874343319099</v>
      </c>
      <c r="R17" s="34" t="n">
        <v>3.21817149329233</v>
      </c>
      <c r="S17" s="35" t="s">
        <v>265</v>
      </c>
      <c r="T17" s="35" t="s">
        <v>265</v>
      </c>
      <c r="U17" s="35" t="s">
        <v>286</v>
      </c>
      <c r="V17" s="13" t="s">
        <v>49</v>
      </c>
      <c r="W17" s="15" t="n">
        <v>563.794868751142</v>
      </c>
      <c r="X17" s="15" t="n">
        <v>396.875</v>
      </c>
      <c r="Y17" s="15" t="n">
        <v>0</v>
      </c>
      <c r="Z17" s="3" t="s">
        <v>683</v>
      </c>
      <c r="AA17" s="3" t="s">
        <v>65</v>
      </c>
      <c r="AB17" s="3" t="s">
        <v>68</v>
      </c>
      <c r="AC17" s="3" t="n">
        <v>1712129.815968</v>
      </c>
      <c r="AD17" s="14" t="n">
        <f aca="false">Assumptions!$D$7</f>
        <v>1712129.815968</v>
      </c>
      <c r="AE17" s="19" t="str">
        <f aca="false">IF(ABS(AC17-AD17)&lt;=0.000001,"CURRENT","STALE")</f>
        <v>CURRENT</v>
      </c>
    </row>
    <row r="18" customFormat="false" ht="15" hidden="false" customHeight="false" outlineLevel="0" collapsed="false">
      <c r="C18" s="14" t="s">
        <v>290</v>
      </c>
      <c r="D18" s="14" t="s">
        <v>291</v>
      </c>
      <c r="E18" s="14" t="str">
        <f aca="false">IF(C18=Assumptions!$D$4,"LIVE SELECTED","CAPTURED")</f>
        <v>CAPTURED</v>
      </c>
      <c r="F18" s="15" t="n">
        <v>115.88908268322</v>
      </c>
      <c r="G18" s="33" t="n">
        <v>0.0948412565287928</v>
      </c>
      <c r="H18" s="15" t="n">
        <v>513.524825541678</v>
      </c>
      <c r="I18" s="15" t="n">
        <v>467.100582030011</v>
      </c>
      <c r="J18" s="15" t="n">
        <v>250.933799599836</v>
      </c>
      <c r="K18" s="15" t="n">
        <v>210.962511424125</v>
      </c>
      <c r="L18" s="15" t="n">
        <v>0</v>
      </c>
      <c r="M18" s="15" t="n">
        <v>239.692854324166</v>
      </c>
      <c r="N18" s="15" t="n">
        <v>263.90228125</v>
      </c>
      <c r="O18" s="15" t="n">
        <v>54.1071456758338</v>
      </c>
      <c r="P18" s="15" t="n">
        <v>54.1071456758338</v>
      </c>
      <c r="Q18" s="34" t="n">
        <v>6.81315885843564</v>
      </c>
      <c r="R18" s="34" t="n">
        <v>1.86198099588389</v>
      </c>
      <c r="S18" s="35" t="s">
        <v>275</v>
      </c>
      <c r="T18" s="35" t="s">
        <v>265</v>
      </c>
      <c r="U18" s="35" t="s">
        <v>286</v>
      </c>
      <c r="V18" s="35" t="s">
        <v>292</v>
      </c>
      <c r="W18" s="15" t="n">
        <v>689.7131930001</v>
      </c>
      <c r="X18" s="15" t="n">
        <v>538.040513007603</v>
      </c>
      <c r="Y18" s="15" t="n">
        <v>41.9470022446955</v>
      </c>
      <c r="Z18" s="3" t="s">
        <v>683</v>
      </c>
      <c r="AA18" s="3" t="s">
        <v>65</v>
      </c>
      <c r="AB18" s="3" t="s">
        <v>68</v>
      </c>
      <c r="AC18" s="3" t="n">
        <v>1712129.815968</v>
      </c>
      <c r="AD18" s="14" t="n">
        <f aca="false">Assumptions!$D$7</f>
        <v>1712129.815968</v>
      </c>
      <c r="AE18" s="19" t="str">
        <f aca="false">IF(ABS(AC18-AD18)&lt;=0.000001,"CURRENT","STALE")</f>
        <v>CURRENT</v>
      </c>
    </row>
    <row r="19" customFormat="false" ht="15" hidden="false" customHeight="false" outlineLevel="0" collapsed="false">
      <c r="C19" s="14" t="s">
        <v>295</v>
      </c>
      <c r="D19" s="14" t="s">
        <v>296</v>
      </c>
      <c r="E19" s="14" t="str">
        <f aca="false">IF(C19=Assumptions!$D$4,"LIVE SELECTED","CAPTURED")</f>
        <v>CAPTURED</v>
      </c>
      <c r="F19" s="15" t="n">
        <v>151.000083797019</v>
      </c>
      <c r="G19" s="33" t="n">
        <v>0.112341256528793</v>
      </c>
      <c r="H19" s="15" t="n">
        <v>706.251348498204</v>
      </c>
      <c r="I19" s="15" t="n">
        <v>589.292036323847</v>
      </c>
      <c r="J19" s="15" t="n">
        <v>198.807555685164</v>
      </c>
      <c r="K19" s="15" t="n">
        <v>238.125</v>
      </c>
      <c r="L19" s="15" t="n">
        <v>0</v>
      </c>
      <c r="M19" s="15" t="n">
        <v>110.321900004086</v>
      </c>
      <c r="N19" s="15" t="n">
        <v>263.90228125</v>
      </c>
      <c r="O19" s="15" t="n">
        <v>183.478099995914</v>
      </c>
      <c r="P19" s="15" t="n">
        <v>183.478099995914</v>
      </c>
      <c r="Q19" s="34" t="n">
        <v>4.37874343319099</v>
      </c>
      <c r="R19" s="34" t="n">
        <v>3.21817149329233</v>
      </c>
      <c r="S19" s="35" t="s">
        <v>265</v>
      </c>
      <c r="T19" s="35" t="s">
        <v>265</v>
      </c>
      <c r="U19" s="35" t="s">
        <v>286</v>
      </c>
      <c r="V19" s="13" t="s">
        <v>49</v>
      </c>
      <c r="W19" s="15" t="n">
        <v>563.794868751142</v>
      </c>
      <c r="X19" s="15" t="n">
        <v>396.875</v>
      </c>
      <c r="Y19" s="15" t="n">
        <v>0</v>
      </c>
      <c r="Z19" s="3" t="s">
        <v>683</v>
      </c>
      <c r="AA19" s="3" t="s">
        <v>65</v>
      </c>
      <c r="AB19" s="3" t="s">
        <v>68</v>
      </c>
      <c r="AC19" s="3" t="n">
        <v>1712129.815968</v>
      </c>
      <c r="AD19" s="14" t="n">
        <f aca="false">Assumptions!$D$7</f>
        <v>1712129.815968</v>
      </c>
      <c r="AE19" s="19" t="str">
        <f aca="false">IF(ABS(AC19-AD19)&lt;=0.000001,"CURRENT","STALE")</f>
        <v>CURRENT</v>
      </c>
    </row>
    <row r="20" customFormat="false" ht="15" hidden="false" customHeight="false" outlineLevel="0" collapsed="false">
      <c r="C20" s="14" t="s">
        <v>299</v>
      </c>
      <c r="D20" s="14" t="s">
        <v>300</v>
      </c>
      <c r="E20" s="14" t="str">
        <f aca="false">IF(C20=Assumptions!$D$4,"LIVE SELECTED","CAPTURED")</f>
        <v>CAPTURED</v>
      </c>
      <c r="F20" s="15" t="n">
        <v>115.88908268322</v>
      </c>
      <c r="G20" s="33" t="n">
        <v>0.0948412565287928</v>
      </c>
      <c r="H20" s="15" t="n">
        <v>513.524825541678</v>
      </c>
      <c r="I20" s="15" t="n">
        <v>467.100582030011</v>
      </c>
      <c r="J20" s="15" t="n">
        <v>250.933799599836</v>
      </c>
      <c r="K20" s="15" t="n">
        <v>210.962511424125</v>
      </c>
      <c r="L20" s="15" t="n">
        <v>0</v>
      </c>
      <c r="M20" s="15" t="n">
        <v>239.692854324166</v>
      </c>
      <c r="N20" s="15" t="n">
        <v>263.90228125</v>
      </c>
      <c r="O20" s="15" t="n">
        <v>54.1071456758338</v>
      </c>
      <c r="P20" s="15" t="n">
        <v>54.1071456758338</v>
      </c>
      <c r="Q20" s="34" t="n">
        <v>6.81315885843564</v>
      </c>
      <c r="R20" s="34" t="n">
        <v>1.86198099588389</v>
      </c>
      <c r="S20" s="35" t="s">
        <v>275</v>
      </c>
      <c r="T20" s="35" t="s">
        <v>265</v>
      </c>
      <c r="U20" s="35" t="s">
        <v>286</v>
      </c>
      <c r="V20" s="35" t="s">
        <v>292</v>
      </c>
      <c r="W20" s="15" t="n">
        <v>689.7131930001</v>
      </c>
      <c r="X20" s="15" t="n">
        <v>538.040513007603</v>
      </c>
      <c r="Y20" s="15" t="n">
        <v>41.9470022446955</v>
      </c>
      <c r="Z20" s="3" t="s">
        <v>683</v>
      </c>
      <c r="AA20" s="3" t="s">
        <v>65</v>
      </c>
      <c r="AB20" s="3" t="s">
        <v>68</v>
      </c>
      <c r="AC20" s="3" t="n">
        <v>1712129.815968</v>
      </c>
      <c r="AD20" s="14" t="n">
        <f aca="false">Assumptions!$D$7</f>
        <v>1712129.815968</v>
      </c>
      <c r="AE20" s="19" t="str">
        <f aca="false">IF(ABS(AC20-AD20)&lt;=0.000001,"CURRENT","STALE")</f>
        <v>CURRENT</v>
      </c>
    </row>
  </sheetData>
  <conditionalFormatting sqref="AE12:AE20">
    <cfRule type="containsText" priority="2" operator="containsText" aboveAverage="0" equalAverage="0" bottom="0" percent="0" rank="0" text="BREACH" dxfId="20">
      <formula>NOT(ISERROR(SEARCH("BREACH",AE12)))</formula>
    </cfRule>
    <cfRule type="containsText" priority="3" operator="containsText" aboveAverage="0" equalAverage="0" bottom="0" percent="0" rank="0" text="FAIL" dxfId="21">
      <formula>NOT(ISERROR(SEARCH("FAIL",AE12)))</formula>
    </cfRule>
    <cfRule type="containsText" priority="4" operator="containsText" aboveAverage="0" equalAverage="0" bottom="0" percent="0" rank="0" text="WARNING" dxfId="22">
      <formula>NOT(ISERROR(SEARCH("WARNING",AE12)))</formula>
    </cfRule>
    <cfRule type="containsText" priority="5" operator="containsText" aboveAverage="0" equalAverage="0" bottom="0" percent="0" rank="0" text="STALE" dxfId="23">
      <formula>NOT(ISERROR(SEARCH("STALE",AE12)))</formula>
    </cfRule>
    <cfRule type="containsText" priority="6" operator="containsText" aboveAverage="0" equalAverage="0" bottom="0" percent="0" rank="0" text="N/D" dxfId="24">
      <formula>NOT(ISERROR(SEARCH("N/D",AE12)))</formula>
    </cfRule>
  </conditionalFormatting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7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C3A5"/>
    <pageSetUpPr fitToPage="true"/>
  </sheetPr>
  <dimension ref="C2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48"/>
    <col collapsed="false" customWidth="true" hidden="false" outlineLevel="0" max="8" min="4" style="1" width="13"/>
    <col collapsed="false" customWidth="true" hidden="false" outlineLevel="0" max="9" min="9" style="1" width="17"/>
    <col collapsed="false" customWidth="true" hidden="false" outlineLevel="0" max="10" min="10" style="1" width="24"/>
    <col collapsed="false" customWidth="true" hidden="false" outlineLevel="0" max="11" min="11" style="1" width="34"/>
  </cols>
  <sheetData>
    <row r="2" customFormat="false" ht="18.55" hidden="false" customHeight="false" outlineLevel="0" collapsed="false">
      <c r="C2" s="2" t="s">
        <v>684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  <c r="Q3" s="3"/>
      <c r="R3" s="3"/>
    </row>
    <row r="4" customFormat="false" ht="15" hidden="false" customHeight="false" outlineLevel="0" collapsed="false">
      <c r="C4" s="36" t="s">
        <v>685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"/>
      <c r="P4" s="3"/>
      <c r="Q4" s="3"/>
      <c r="R4" s="3"/>
    </row>
    <row r="5" customFormat="false" ht="15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5" hidden="false" customHeight="false" outlineLevel="0" collapsed="false">
      <c r="C6" s="10" t="s">
        <v>686</v>
      </c>
      <c r="D6" s="11" t="s">
        <v>687</v>
      </c>
      <c r="E6" s="11" t="s">
        <v>688</v>
      </c>
      <c r="F6" s="11" t="s">
        <v>689</v>
      </c>
      <c r="G6" s="11" t="s">
        <v>690</v>
      </c>
      <c r="H6" s="11" t="s">
        <v>691</v>
      </c>
      <c r="I6" s="11" t="s">
        <v>73</v>
      </c>
      <c r="J6" s="11" t="s">
        <v>692</v>
      </c>
      <c r="K6" s="12" t="s">
        <v>7</v>
      </c>
      <c r="L6" s="3"/>
      <c r="M6" s="3"/>
      <c r="N6" s="3"/>
      <c r="O6" s="3"/>
      <c r="P6" s="3"/>
      <c r="Q6" s="3"/>
      <c r="R6" s="3"/>
    </row>
    <row r="7" customFormat="false" ht="15" hidden="false" customHeight="false" outlineLevel="0" collapsed="false">
      <c r="C7" s="7" t="s">
        <v>693</v>
      </c>
      <c r="D7" s="37"/>
      <c r="E7" s="37"/>
      <c r="F7" s="37"/>
      <c r="G7" s="37"/>
      <c r="H7" s="37"/>
      <c r="I7" s="38"/>
      <c r="J7" s="38"/>
      <c r="K7" s="39"/>
      <c r="L7" s="3"/>
      <c r="M7" s="3"/>
      <c r="N7" s="3"/>
      <c r="O7" s="3"/>
      <c r="P7" s="3"/>
      <c r="Q7" s="3"/>
      <c r="R7" s="3"/>
    </row>
    <row r="8" customFormat="false" ht="15" hidden="false" customHeight="false" outlineLevel="0" collapsed="false">
      <c r="C8" s="3" t="s">
        <v>694</v>
      </c>
      <c r="D8" s="16" t="n">
        <v>1072.149</v>
      </c>
      <c r="E8" s="16" t="n">
        <v>1221.502</v>
      </c>
      <c r="F8" s="16" t="n">
        <v>1130.583</v>
      </c>
      <c r="G8" s="16" t="n">
        <v>1277.862</v>
      </c>
      <c r="H8" s="16" t="n">
        <v>1837.641</v>
      </c>
      <c r="I8" s="14" t="s">
        <v>695</v>
      </c>
      <c r="J8" s="14" t="s">
        <v>696</v>
      </c>
      <c r="K8" s="14" t="s">
        <v>697</v>
      </c>
      <c r="L8" s="3"/>
      <c r="M8" s="3"/>
      <c r="N8" s="3"/>
      <c r="O8" s="3"/>
      <c r="P8" s="3"/>
      <c r="Q8" s="3"/>
      <c r="R8" s="3"/>
    </row>
    <row r="9" customFormat="false" ht="15" hidden="false" customHeight="false" outlineLevel="0" collapsed="false">
      <c r="C9" s="3" t="s">
        <v>698</v>
      </c>
      <c r="D9" s="16" t="n">
        <v>-831.541</v>
      </c>
      <c r="E9" s="16" t="n">
        <v>-953.004</v>
      </c>
      <c r="F9" s="16" t="n">
        <v>-853.059</v>
      </c>
      <c r="G9" s="16" t="n">
        <v>-972.238</v>
      </c>
      <c r="H9" s="16" t="n">
        <v>-1338.413</v>
      </c>
      <c r="I9" s="14" t="s">
        <v>695</v>
      </c>
      <c r="J9" s="14" t="s">
        <v>696</v>
      </c>
      <c r="K9" s="14" t="s">
        <v>697</v>
      </c>
      <c r="L9" s="3"/>
      <c r="M9" s="3"/>
      <c r="N9" s="3"/>
      <c r="O9" s="3"/>
      <c r="P9" s="3"/>
      <c r="Q9" s="3"/>
      <c r="R9" s="3"/>
    </row>
    <row r="10" customFormat="false" ht="15" hidden="false" customHeight="false" outlineLevel="0" collapsed="false">
      <c r="C10" s="3" t="s">
        <v>699</v>
      </c>
      <c r="D10" s="16" t="n">
        <v>240.608</v>
      </c>
      <c r="E10" s="16" t="n">
        <v>268.498</v>
      </c>
      <c r="F10" s="16" t="n">
        <v>277.524</v>
      </c>
      <c r="G10" s="16" t="n">
        <v>305.624</v>
      </c>
      <c r="H10" s="16" t="n">
        <v>499.228</v>
      </c>
      <c r="I10" s="14" t="s">
        <v>695</v>
      </c>
      <c r="J10" s="14" t="s">
        <v>696</v>
      </c>
      <c r="K10" s="14" t="s">
        <v>697</v>
      </c>
      <c r="L10" s="3"/>
      <c r="M10" s="3"/>
      <c r="N10" s="3"/>
      <c r="O10" s="3"/>
      <c r="P10" s="3"/>
      <c r="Q10" s="3"/>
      <c r="R10" s="3"/>
    </row>
    <row r="11" customFormat="false" ht="15" hidden="false" customHeight="false" outlineLevel="0" collapsed="false">
      <c r="C11" s="3" t="s">
        <v>700</v>
      </c>
      <c r="D11" s="16" t="n">
        <v>-115.967</v>
      </c>
      <c r="E11" s="16" t="n">
        <v>-117.108</v>
      </c>
      <c r="F11" s="16" t="n">
        <v>-123.957</v>
      </c>
      <c r="G11" s="16" t="n">
        <v>-190.47</v>
      </c>
      <c r="H11" s="16" t="n">
        <v>-277.261</v>
      </c>
      <c r="I11" s="14" t="s">
        <v>695</v>
      </c>
      <c r="J11" s="14" t="s">
        <v>696</v>
      </c>
      <c r="K11" s="14" t="s">
        <v>697</v>
      </c>
      <c r="L11" s="3"/>
      <c r="M11" s="3"/>
      <c r="N11" s="3"/>
      <c r="O11" s="3"/>
      <c r="P11" s="3"/>
      <c r="Q11" s="3"/>
      <c r="R11" s="3"/>
    </row>
    <row r="12" customFormat="false" ht="15" hidden="false" customHeight="false" outlineLevel="0" collapsed="false">
      <c r="C12" s="3" t="s">
        <v>701</v>
      </c>
      <c r="D12" s="16" t="n">
        <v>-42.732</v>
      </c>
      <c r="E12" s="16" t="n">
        <v>-40.109</v>
      </c>
      <c r="F12" s="16" t="n">
        <v>-42.866</v>
      </c>
      <c r="G12" s="16" t="n">
        <v>-60.328</v>
      </c>
      <c r="H12" s="16" t="n">
        <v>-103.444</v>
      </c>
      <c r="I12" s="14" t="s">
        <v>695</v>
      </c>
      <c r="J12" s="14" t="s">
        <v>696</v>
      </c>
      <c r="K12" s="14" t="s">
        <v>697</v>
      </c>
      <c r="L12" s="3"/>
      <c r="M12" s="3"/>
      <c r="N12" s="3"/>
      <c r="O12" s="3"/>
      <c r="P12" s="3"/>
      <c r="Q12" s="3"/>
      <c r="R12" s="3"/>
    </row>
    <row r="13" customFormat="false" ht="15" hidden="false" customHeight="false" outlineLevel="0" collapsed="false">
      <c r="C13" s="3" t="s">
        <v>702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-302.284</v>
      </c>
      <c r="I13" s="14" t="s">
        <v>695</v>
      </c>
      <c r="J13" s="14" t="s">
        <v>703</v>
      </c>
      <c r="K13" s="14" t="s">
        <v>697</v>
      </c>
      <c r="L13" s="3"/>
      <c r="M13" s="3"/>
      <c r="N13" s="3"/>
      <c r="O13" s="3"/>
      <c r="P13" s="3"/>
      <c r="Q13" s="3"/>
      <c r="R13" s="3"/>
    </row>
    <row r="14" customFormat="false" ht="15" hidden="false" customHeight="false" outlineLevel="0" collapsed="false">
      <c r="C14" s="3" t="s">
        <v>704</v>
      </c>
      <c r="D14" s="16" t="n">
        <v>81.87</v>
      </c>
      <c r="E14" s="16" t="n">
        <v>111.281</v>
      </c>
      <c r="F14" s="16" t="n">
        <v>110.701</v>
      </c>
      <c r="G14" s="16" t="n">
        <v>54.826</v>
      </c>
      <c r="H14" s="16" t="n">
        <v>-193.952</v>
      </c>
      <c r="I14" s="14" t="s">
        <v>695</v>
      </c>
      <c r="J14" s="14" t="s">
        <v>696</v>
      </c>
      <c r="K14" s="14" t="s">
        <v>697</v>
      </c>
      <c r="L14" s="3"/>
      <c r="M14" s="3"/>
      <c r="N14" s="3"/>
      <c r="O14" s="3"/>
      <c r="P14" s="3"/>
      <c r="Q14" s="3"/>
      <c r="R14" s="3"/>
    </row>
    <row r="15" customFormat="false" ht="15" hidden="false" customHeight="false" outlineLevel="0" collapsed="false">
      <c r="C15" s="3" t="s">
        <v>705</v>
      </c>
      <c r="D15" s="16" t="n">
        <v>-2.53</v>
      </c>
      <c r="E15" s="16" t="n">
        <v>-2.559</v>
      </c>
      <c r="F15" s="16" t="n">
        <v>-8.136</v>
      </c>
      <c r="G15" s="16" t="n">
        <v>-20.593</v>
      </c>
      <c r="H15" s="16" t="n">
        <v>-55.812</v>
      </c>
      <c r="I15" s="14" t="s">
        <v>695</v>
      </c>
      <c r="J15" s="14" t="s">
        <v>696</v>
      </c>
      <c r="K15" s="14" t="s">
        <v>697</v>
      </c>
      <c r="L15" s="3"/>
      <c r="M15" s="3"/>
      <c r="N15" s="3"/>
      <c r="O15" s="3"/>
      <c r="P15" s="3"/>
      <c r="Q15" s="3"/>
      <c r="R15" s="3"/>
    </row>
    <row r="16" customFormat="false" ht="15" hidden="false" customHeight="false" outlineLevel="0" collapsed="false">
      <c r="C16" s="3" t="s">
        <v>706</v>
      </c>
      <c r="D16" s="16" t="n">
        <v>80.094</v>
      </c>
      <c r="E16" s="16" t="n">
        <v>109.763</v>
      </c>
      <c r="F16" s="16" t="n">
        <v>97.046</v>
      </c>
      <c r="G16" s="16" t="n">
        <v>42.082</v>
      </c>
      <c r="H16" s="16" t="n">
        <v>-242.593</v>
      </c>
      <c r="I16" s="14" t="s">
        <v>695</v>
      </c>
      <c r="J16" s="14" t="s">
        <v>696</v>
      </c>
      <c r="K16" s="14" t="s">
        <v>697</v>
      </c>
      <c r="L16" s="3"/>
      <c r="M16" s="3"/>
      <c r="N16" s="3"/>
      <c r="O16" s="3"/>
      <c r="P16" s="3"/>
      <c r="Q16" s="3"/>
      <c r="R16" s="3"/>
    </row>
    <row r="17" customFormat="false" ht="15" hidden="false" customHeight="false" outlineLevel="0" collapsed="false">
      <c r="C17" s="3" t="s">
        <v>707</v>
      </c>
      <c r="D17" s="16" t="n">
        <v>-23.114</v>
      </c>
      <c r="E17" s="16" t="n">
        <v>-21.427</v>
      </c>
      <c r="F17" s="16" t="n">
        <v>-14.545</v>
      </c>
      <c r="G17" s="16" t="n">
        <v>-9.023</v>
      </c>
      <c r="H17" s="16" t="n">
        <v>-8.213</v>
      </c>
      <c r="I17" s="14" t="s">
        <v>695</v>
      </c>
      <c r="J17" s="14" t="s">
        <v>696</v>
      </c>
      <c r="K17" s="14" t="s">
        <v>697</v>
      </c>
      <c r="L17" s="3"/>
      <c r="M17" s="3"/>
      <c r="N17" s="3"/>
      <c r="O17" s="3"/>
      <c r="P17" s="3"/>
      <c r="Q17" s="3"/>
      <c r="R17" s="3"/>
    </row>
    <row r="18" customFormat="false" ht="15" hidden="false" customHeight="false" outlineLevel="0" collapsed="false">
      <c r="C18" s="3" t="s">
        <v>708</v>
      </c>
      <c r="D18" s="16" t="n">
        <v>56.98</v>
      </c>
      <c r="E18" s="16" t="n">
        <v>88.336</v>
      </c>
      <c r="F18" s="16" t="n">
        <v>82.501</v>
      </c>
      <c r="G18" s="16" t="n">
        <v>33.059</v>
      </c>
      <c r="H18" s="16" t="n">
        <v>-250.806</v>
      </c>
      <c r="I18" s="14" t="s">
        <v>695</v>
      </c>
      <c r="J18" s="14" t="s">
        <v>696</v>
      </c>
      <c r="K18" s="14" t="s">
        <v>697</v>
      </c>
      <c r="L18" s="3"/>
      <c r="M18" s="3"/>
      <c r="N18" s="3"/>
      <c r="O18" s="3"/>
      <c r="P18" s="3"/>
      <c r="Q18" s="3"/>
      <c r="R18" s="3"/>
    </row>
    <row r="19" customFormat="false" ht="15" hidden="false" customHeight="false" outlineLevel="0" collapsed="false">
      <c r="C19" s="7" t="s">
        <v>709</v>
      </c>
      <c r="D19" s="37"/>
      <c r="E19" s="37"/>
      <c r="F19" s="37"/>
      <c r="G19" s="37"/>
      <c r="H19" s="37"/>
      <c r="I19" s="38"/>
      <c r="J19" s="38"/>
      <c r="K19" s="39"/>
      <c r="L19" s="3"/>
      <c r="M19" s="3"/>
      <c r="N19" s="3"/>
      <c r="O19" s="3"/>
      <c r="P19" s="3"/>
      <c r="Q19" s="3"/>
      <c r="R19" s="3"/>
    </row>
    <row r="20" customFormat="false" ht="15" hidden="false" customHeight="false" outlineLevel="0" collapsed="false">
      <c r="C20" s="3" t="s">
        <v>710</v>
      </c>
      <c r="D20" s="16" t="n">
        <v>78.588</v>
      </c>
      <c r="E20" s="16" t="n">
        <v>97.965</v>
      </c>
      <c r="F20" s="16" t="n">
        <v>147.052</v>
      </c>
      <c r="G20" s="16" t="n">
        <v>88.812</v>
      </c>
      <c r="H20" s="16" t="n">
        <v>164.897</v>
      </c>
      <c r="I20" s="14" t="s">
        <v>695</v>
      </c>
      <c r="J20" s="14" t="s">
        <v>696</v>
      </c>
      <c r="K20" s="14" t="s">
        <v>697</v>
      </c>
      <c r="L20" s="3"/>
      <c r="M20" s="3"/>
      <c r="N20" s="3"/>
      <c r="O20" s="3"/>
      <c r="P20" s="3"/>
      <c r="Q20" s="3"/>
      <c r="R20" s="3"/>
    </row>
    <row r="21" customFormat="false" ht="15" hidden="false" customHeight="false" outlineLevel="0" collapsed="false">
      <c r="C21" s="3" t="s">
        <v>711</v>
      </c>
      <c r="D21" s="16" t="n">
        <v>-24.008</v>
      </c>
      <c r="E21" s="16" t="n">
        <v>-33.121</v>
      </c>
      <c r="F21" s="16" t="n">
        <v>-37.39</v>
      </c>
      <c r="G21" s="16" t="n">
        <v>-37.086</v>
      </c>
      <c r="H21" s="16" t="n">
        <v>-62.642</v>
      </c>
      <c r="I21" s="14" t="s">
        <v>695</v>
      </c>
      <c r="J21" s="14" t="s">
        <v>696</v>
      </c>
      <c r="K21" s="14" t="s">
        <v>697</v>
      </c>
      <c r="L21" s="3"/>
      <c r="M21" s="3"/>
      <c r="N21" s="3"/>
      <c r="O21" s="3"/>
      <c r="P21" s="3"/>
      <c r="Q21" s="3"/>
      <c r="R21" s="3"/>
    </row>
    <row r="22" customFormat="false" ht="15" hidden="false" customHeight="false" outlineLevel="0" collapsed="false">
      <c r="C22" s="3" t="s">
        <v>712</v>
      </c>
      <c r="D22" s="16" t="n">
        <v>54.58</v>
      </c>
      <c r="E22" s="16" t="n">
        <v>64.844</v>
      </c>
      <c r="F22" s="16" t="n">
        <v>109.662</v>
      </c>
      <c r="G22" s="16" t="n">
        <v>51.726</v>
      </c>
      <c r="H22" s="16" t="n">
        <v>102.255</v>
      </c>
      <c r="I22" s="14" t="s">
        <v>695</v>
      </c>
      <c r="J22" s="14" t="s">
        <v>696</v>
      </c>
      <c r="K22" s="14" t="s">
        <v>697</v>
      </c>
      <c r="L22" s="3"/>
      <c r="M22" s="3"/>
      <c r="N22" s="3"/>
      <c r="O22" s="3"/>
      <c r="P22" s="3"/>
      <c r="Q22" s="3"/>
      <c r="R22" s="3"/>
    </row>
    <row r="23" customFormat="false" ht="15" hidden="false" customHeight="false" outlineLevel="0" collapsed="false">
      <c r="C23" s="3" t="s">
        <v>713</v>
      </c>
      <c r="D23" s="16"/>
      <c r="E23" s="16"/>
      <c r="F23" s="16" t="n">
        <v>-91.302</v>
      </c>
      <c r="G23" s="16" t="n">
        <v>-398.554</v>
      </c>
      <c r="H23" s="16" t="n">
        <v>0</v>
      </c>
      <c r="I23" s="14" t="s">
        <v>695</v>
      </c>
      <c r="J23" s="14" t="s">
        <v>703</v>
      </c>
      <c r="K23" s="14" t="s">
        <v>697</v>
      </c>
      <c r="L23" s="3"/>
      <c r="M23" s="3"/>
      <c r="N23" s="3"/>
      <c r="O23" s="3"/>
      <c r="P23" s="3"/>
      <c r="Q23" s="3"/>
      <c r="R23" s="3"/>
    </row>
    <row r="24" customFormat="false" ht="15" hidden="false" customHeight="false" outlineLevel="0" collapsed="false">
      <c r="C24" s="3" t="s">
        <v>714</v>
      </c>
      <c r="D24" s="16" t="n">
        <v>-10.779</v>
      </c>
      <c r="E24" s="16" t="n">
        <v>-10.598</v>
      </c>
      <c r="F24" s="16" t="n">
        <v>-10.639</v>
      </c>
      <c r="G24" s="16" t="n">
        <v>-11.972</v>
      </c>
      <c r="H24" s="16" t="n">
        <v>-14.889</v>
      </c>
      <c r="I24" s="14" t="s">
        <v>695</v>
      </c>
      <c r="J24" s="14" t="s">
        <v>696</v>
      </c>
      <c r="K24" s="14" t="s">
        <v>697</v>
      </c>
      <c r="L24" s="3"/>
      <c r="M24" s="3"/>
      <c r="N24" s="3"/>
      <c r="O24" s="3"/>
      <c r="P24" s="3"/>
      <c r="Q24" s="3"/>
      <c r="R24" s="3"/>
    </row>
    <row r="25" customFormat="false" ht="15" hidden="false" customHeight="false" outlineLevel="0" collapsed="false">
      <c r="C25" s="3" t="s">
        <v>715</v>
      </c>
      <c r="D25" s="16" t="n">
        <v>-11.182</v>
      </c>
      <c r="E25" s="16" t="n">
        <v>-6.6</v>
      </c>
      <c r="F25" s="16" t="n">
        <v>-5.593</v>
      </c>
      <c r="G25" s="16" t="n">
        <v>0</v>
      </c>
      <c r="H25" s="16" t="n">
        <v>-32.36</v>
      </c>
      <c r="I25" s="14" t="s">
        <v>695</v>
      </c>
      <c r="J25" s="14" t="s">
        <v>696</v>
      </c>
      <c r="K25" s="14" t="s">
        <v>697</v>
      </c>
      <c r="L25" s="3"/>
      <c r="M25" s="3"/>
      <c r="N25" s="3"/>
      <c r="O25" s="3"/>
      <c r="P25" s="3"/>
      <c r="Q25" s="3"/>
      <c r="R25" s="3"/>
    </row>
    <row r="26" customFormat="false" ht="15" hidden="false" customHeight="false" outlineLevel="0" collapsed="false">
      <c r="C26" s="7" t="s">
        <v>716</v>
      </c>
      <c r="D26" s="37"/>
      <c r="E26" s="37"/>
      <c r="F26" s="37"/>
      <c r="G26" s="37"/>
      <c r="H26" s="37"/>
      <c r="I26" s="38"/>
      <c r="J26" s="38"/>
      <c r="K26" s="39"/>
      <c r="L26" s="3"/>
      <c r="M26" s="3"/>
      <c r="N26" s="3"/>
      <c r="O26" s="3"/>
      <c r="P26" s="3"/>
      <c r="Q26" s="3"/>
      <c r="R26" s="3"/>
    </row>
    <row r="27" customFormat="false" ht="15" hidden="false" customHeight="false" outlineLevel="0" collapsed="false">
      <c r="C27" s="3" t="s">
        <v>717</v>
      </c>
      <c r="D27" s="16" t="n">
        <v>40.061</v>
      </c>
      <c r="E27" s="16" t="n">
        <v>55.093</v>
      </c>
      <c r="F27" s="16" t="n">
        <v>58.474</v>
      </c>
      <c r="G27" s="16" t="n">
        <v>97.744</v>
      </c>
      <c r="H27" s="16" t="n">
        <v>76.018</v>
      </c>
      <c r="I27" s="14" t="s">
        <v>695</v>
      </c>
      <c r="J27" s="14" t="s">
        <v>718</v>
      </c>
      <c r="K27" s="14" t="s">
        <v>697</v>
      </c>
      <c r="L27" s="3"/>
      <c r="M27" s="3"/>
      <c r="N27" s="3"/>
      <c r="O27" s="3"/>
      <c r="P27" s="3"/>
      <c r="Q27" s="3"/>
      <c r="R27" s="3"/>
    </row>
    <row r="28" customFormat="false" ht="15" hidden="false" customHeight="false" outlineLevel="0" collapsed="false">
      <c r="C28" s="3" t="s">
        <v>719</v>
      </c>
      <c r="D28" s="16" t="n">
        <v>108.309</v>
      </c>
      <c r="E28" s="16" t="n">
        <v>96.018</v>
      </c>
      <c r="F28" s="16" t="n">
        <v>97.311</v>
      </c>
      <c r="G28" s="16" t="n">
        <v>197.689</v>
      </c>
      <c r="H28" s="16" t="n">
        <v>205.384</v>
      </c>
      <c r="I28" s="14" t="s">
        <v>695</v>
      </c>
      <c r="J28" s="14" t="s">
        <v>718</v>
      </c>
      <c r="K28" s="14" t="s">
        <v>697</v>
      </c>
      <c r="L28" s="3"/>
      <c r="M28" s="3"/>
      <c r="N28" s="3"/>
      <c r="O28" s="3"/>
      <c r="P28" s="3"/>
      <c r="Q28" s="3"/>
      <c r="R28" s="3"/>
    </row>
    <row r="29" customFormat="false" ht="15" hidden="false" customHeight="false" outlineLevel="0" collapsed="false">
      <c r="C29" s="3" t="s">
        <v>720</v>
      </c>
      <c r="D29" s="16" t="n">
        <v>92.529</v>
      </c>
      <c r="E29" s="16" t="n">
        <v>120.89</v>
      </c>
      <c r="F29" s="16" t="n">
        <v>97.959</v>
      </c>
      <c r="G29" s="16" t="n">
        <v>275.55</v>
      </c>
      <c r="H29" s="16" t="n">
        <v>254.122</v>
      </c>
      <c r="I29" s="14" t="s">
        <v>695</v>
      </c>
      <c r="J29" s="14" t="s">
        <v>718</v>
      </c>
      <c r="K29" s="14" t="s">
        <v>697</v>
      </c>
      <c r="L29" s="3"/>
      <c r="M29" s="3"/>
      <c r="N29" s="3"/>
      <c r="O29" s="3"/>
      <c r="P29" s="3"/>
      <c r="Q29" s="3"/>
      <c r="R29" s="3"/>
    </row>
    <row r="30" customFormat="false" ht="15" hidden="false" customHeight="false" outlineLevel="0" collapsed="false">
      <c r="C30" s="3" t="s">
        <v>721</v>
      </c>
      <c r="D30" s="16" t="n">
        <v>86.765</v>
      </c>
      <c r="E30" s="16" t="n">
        <v>77.907</v>
      </c>
      <c r="F30" s="16" t="n">
        <v>74.371</v>
      </c>
      <c r="G30" s="16" t="n">
        <v>124.404</v>
      </c>
      <c r="H30" s="16" t="n">
        <v>131.307</v>
      </c>
      <c r="I30" s="14" t="s">
        <v>695</v>
      </c>
      <c r="J30" s="14" t="s">
        <v>718</v>
      </c>
      <c r="K30" s="14" t="s">
        <v>697</v>
      </c>
      <c r="L30" s="3"/>
      <c r="M30" s="3"/>
      <c r="N30" s="3"/>
      <c r="O30" s="3"/>
      <c r="P30" s="3"/>
      <c r="Q30" s="3"/>
      <c r="R30" s="3"/>
    </row>
    <row r="31" customFormat="false" ht="15" hidden="false" customHeight="false" outlineLevel="0" collapsed="false">
      <c r="C31" s="3" t="s">
        <v>722</v>
      </c>
      <c r="D31" s="16" t="n">
        <v>249.047</v>
      </c>
      <c r="E31" s="16" t="n">
        <v>280.665</v>
      </c>
      <c r="F31" s="16" t="n">
        <v>273.6</v>
      </c>
      <c r="G31" s="16" t="n">
        <v>611.268</v>
      </c>
      <c r="H31" s="16" t="n">
        <v>573.775</v>
      </c>
      <c r="I31" s="14" t="s">
        <v>695</v>
      </c>
      <c r="J31" s="14" t="s">
        <v>718</v>
      </c>
      <c r="K31" s="14" t="s">
        <v>697</v>
      </c>
      <c r="L31" s="3"/>
      <c r="M31" s="3"/>
      <c r="N31" s="3"/>
      <c r="O31" s="3"/>
      <c r="P31" s="3"/>
      <c r="Q31" s="3"/>
      <c r="R31" s="3"/>
    </row>
    <row r="32" customFormat="false" ht="15" hidden="false" customHeight="false" outlineLevel="0" collapsed="false">
      <c r="C32" s="3" t="s">
        <v>723</v>
      </c>
      <c r="D32" s="16" t="n">
        <v>158.001</v>
      </c>
      <c r="E32" s="16" t="n">
        <v>139.843</v>
      </c>
      <c r="F32" s="16" t="n">
        <v>134.663</v>
      </c>
      <c r="G32" s="16" t="n">
        <v>272.867</v>
      </c>
      <c r="H32" s="16" t="n">
        <v>281.545</v>
      </c>
      <c r="I32" s="14" t="s">
        <v>695</v>
      </c>
      <c r="J32" s="14" t="s">
        <v>718</v>
      </c>
      <c r="K32" s="14" t="s">
        <v>697</v>
      </c>
      <c r="L32" s="3"/>
      <c r="M32" s="3"/>
      <c r="N32" s="3"/>
      <c r="O32" s="3"/>
      <c r="P32" s="3"/>
      <c r="Q32" s="3"/>
      <c r="R32" s="3"/>
    </row>
    <row r="33" customFormat="false" ht="15" hidden="false" customHeight="false" outlineLevel="0" collapsed="false">
      <c r="C33" s="3" t="s">
        <v>724</v>
      </c>
      <c r="D33" s="16" t="n">
        <v>717.323</v>
      </c>
      <c r="E33" s="16" t="n">
        <v>724.617</v>
      </c>
      <c r="F33" s="16" t="n">
        <v>831.143</v>
      </c>
      <c r="G33" s="16" t="n">
        <v>2319.788</v>
      </c>
      <c r="H33" s="16" t="n">
        <v>1968.233</v>
      </c>
      <c r="I33" s="14" t="s">
        <v>695</v>
      </c>
      <c r="J33" s="14" t="s">
        <v>718</v>
      </c>
      <c r="K33" s="14" t="s">
        <v>697</v>
      </c>
      <c r="L33" s="3"/>
      <c r="M33" s="3"/>
      <c r="N33" s="3"/>
      <c r="O33" s="3"/>
      <c r="P33" s="3"/>
      <c r="Q33" s="3"/>
      <c r="R33" s="3"/>
    </row>
    <row r="34" customFormat="false" ht="15" hidden="false" customHeight="false" outlineLevel="0" collapsed="false">
      <c r="C34" s="3" t="s">
        <v>725</v>
      </c>
      <c r="D34" s="16" t="n">
        <v>297.541</v>
      </c>
      <c r="E34" s="16" t="n">
        <v>259.782</v>
      </c>
      <c r="F34" s="16" t="n">
        <v>285.589</v>
      </c>
      <c r="G34" s="16" t="n">
        <v>1309.042</v>
      </c>
      <c r="H34" s="16" t="n">
        <v>1242.054</v>
      </c>
      <c r="I34" s="14" t="s">
        <v>695</v>
      </c>
      <c r="J34" s="14" t="s">
        <v>718</v>
      </c>
      <c r="K34" s="14" t="s">
        <v>697</v>
      </c>
      <c r="L34" s="3"/>
      <c r="M34" s="3"/>
      <c r="N34" s="3"/>
      <c r="O34" s="3"/>
      <c r="P34" s="3"/>
      <c r="Q34" s="3"/>
      <c r="R34" s="3"/>
    </row>
    <row r="35" customFormat="false" ht="15" hidden="false" customHeight="false" outlineLevel="0" collapsed="false">
      <c r="C35" s="3" t="s">
        <v>726</v>
      </c>
      <c r="D35" s="16" t="n">
        <v>419.782</v>
      </c>
      <c r="E35" s="16" t="n">
        <v>464.835</v>
      </c>
      <c r="F35" s="16" t="n">
        <v>545.554</v>
      </c>
      <c r="G35" s="16" t="n">
        <v>1010.746</v>
      </c>
      <c r="H35" s="16" t="n">
        <v>726.179</v>
      </c>
      <c r="I35" s="14" t="s">
        <v>695</v>
      </c>
      <c r="J35" s="14" t="s">
        <v>718</v>
      </c>
      <c r="K35" s="14" t="s">
        <v>697</v>
      </c>
      <c r="L35" s="3"/>
      <c r="M35" s="3"/>
      <c r="N35" s="3"/>
      <c r="O35" s="3"/>
      <c r="P35" s="3"/>
      <c r="Q35" s="3"/>
      <c r="R35" s="3"/>
    </row>
    <row r="36" customFormat="false" ht="15" hidden="false" customHeight="false" outlineLevel="0" collapsed="false">
      <c r="C36" s="3" t="s">
        <v>727</v>
      </c>
      <c r="D36" s="16" t="n">
        <v>149.205</v>
      </c>
      <c r="E36" s="16" t="n">
        <v>137.855</v>
      </c>
      <c r="F36" s="16" t="n">
        <v>182.956</v>
      </c>
      <c r="G36" s="16" t="n">
        <v>574.711</v>
      </c>
      <c r="H36" s="16" t="n">
        <v>271.346</v>
      </c>
      <c r="I36" s="14" t="s">
        <v>695</v>
      </c>
      <c r="J36" s="14" t="s">
        <v>718</v>
      </c>
      <c r="K36" s="14" t="s">
        <v>697</v>
      </c>
      <c r="L36" s="3"/>
      <c r="M36" s="3"/>
      <c r="N36" s="3"/>
      <c r="O36" s="3"/>
      <c r="P36" s="3"/>
      <c r="Q36" s="3"/>
      <c r="R36" s="3"/>
    </row>
    <row r="37" customFormat="false" ht="15" hidden="false" customHeight="false" outlineLevel="0" collapsed="false">
      <c r="C37" s="3" t="s">
        <v>728</v>
      </c>
      <c r="D37" s="16" t="n">
        <v>82.41</v>
      </c>
      <c r="E37" s="16" t="n">
        <v>65.035</v>
      </c>
      <c r="F37" s="16" t="n">
        <v>74.115</v>
      </c>
      <c r="G37" s="16" t="n">
        <v>597.909</v>
      </c>
      <c r="H37" s="16" t="n">
        <v>549.137</v>
      </c>
      <c r="I37" s="14" t="s">
        <v>695</v>
      </c>
      <c r="J37" s="14" t="s">
        <v>718</v>
      </c>
      <c r="K37" s="14" t="s">
        <v>697</v>
      </c>
      <c r="L37" s="3"/>
      <c r="M37" s="3"/>
      <c r="N37" s="3"/>
      <c r="O37" s="3"/>
      <c r="P37" s="3"/>
      <c r="Q37" s="3"/>
      <c r="R37" s="3"/>
    </row>
    <row r="38" customFormat="false" ht="15" hidden="false" customHeight="false" outlineLevel="0" collapsed="false">
      <c r="C38" s="7" t="s">
        <v>729</v>
      </c>
      <c r="D38" s="37"/>
      <c r="E38" s="37"/>
      <c r="F38" s="37"/>
      <c r="G38" s="37"/>
      <c r="H38" s="37"/>
      <c r="I38" s="38"/>
      <c r="J38" s="38"/>
      <c r="K38" s="39"/>
      <c r="L38" s="3"/>
      <c r="M38" s="3"/>
      <c r="N38" s="3"/>
      <c r="O38" s="3"/>
      <c r="P38" s="3"/>
      <c r="Q38" s="3"/>
      <c r="R38" s="3"/>
    </row>
    <row r="39" customFormat="false" ht="15" hidden="false" customHeight="false" outlineLevel="0" collapsed="false">
      <c r="C39" s="3" t="s">
        <v>730</v>
      </c>
      <c r="D39" s="16" t="n">
        <v>0</v>
      </c>
      <c r="E39" s="16" t="n">
        <v>0</v>
      </c>
      <c r="F39" s="16" t="n">
        <v>0</v>
      </c>
      <c r="G39" s="16" t="n">
        <v>493.75</v>
      </c>
      <c r="H39" s="16" t="n">
        <v>468.75</v>
      </c>
      <c r="I39" s="14" t="s">
        <v>695</v>
      </c>
      <c r="J39" s="14" t="s">
        <v>731</v>
      </c>
      <c r="K39" s="14" t="s">
        <v>697</v>
      </c>
      <c r="L39" s="3"/>
      <c r="M39" s="3"/>
      <c r="N39" s="3"/>
      <c r="O39" s="3"/>
      <c r="P39" s="3"/>
      <c r="Q39" s="3"/>
      <c r="R39" s="3"/>
    </row>
    <row r="40" customFormat="false" ht="15" hidden="false" customHeight="false" outlineLevel="0" collapsed="false">
      <c r="C40" s="3" t="s">
        <v>732</v>
      </c>
      <c r="D40" s="16" t="n">
        <v>38</v>
      </c>
      <c r="E40" s="16" t="n">
        <v>13</v>
      </c>
      <c r="F40" s="16" t="n">
        <v>15</v>
      </c>
      <c r="G40" s="16" t="n">
        <v>222.5</v>
      </c>
      <c r="H40" s="16" t="n">
        <v>172.5</v>
      </c>
      <c r="I40" s="14" t="s">
        <v>695</v>
      </c>
      <c r="J40" s="14" t="s">
        <v>731</v>
      </c>
      <c r="K40" s="14" t="s">
        <v>697</v>
      </c>
      <c r="L40" s="3"/>
      <c r="M40" s="3"/>
      <c r="N40" s="3"/>
      <c r="O40" s="3"/>
      <c r="P40" s="3"/>
      <c r="Q40" s="3"/>
      <c r="R40" s="3"/>
    </row>
    <row r="41" customFormat="false" ht="15" hidden="false" customHeight="false" outlineLevel="0" collapsed="false">
      <c r="C41" s="3" t="s">
        <v>733</v>
      </c>
      <c r="D41" s="16" t="n">
        <v>53.537</v>
      </c>
      <c r="E41" s="16" t="n">
        <v>32.202</v>
      </c>
      <c r="F41" s="16" t="n">
        <v>70</v>
      </c>
      <c r="G41" s="16" t="n">
        <v>776.926</v>
      </c>
      <c r="H41" s="16" t="n">
        <v>703.869</v>
      </c>
      <c r="I41" s="14" t="s">
        <v>695</v>
      </c>
      <c r="J41" s="14" t="s">
        <v>731</v>
      </c>
      <c r="K41" s="14" t="s">
        <v>697</v>
      </c>
      <c r="L41" s="3"/>
      <c r="M41" s="3"/>
      <c r="N41" s="3"/>
      <c r="O41" s="3"/>
      <c r="P41" s="3"/>
      <c r="Q41" s="3"/>
      <c r="R41" s="3"/>
    </row>
    <row r="42" customFormat="false" ht="15" hidden="false" customHeight="false" outlineLevel="0" collapsed="false">
      <c r="C42" s="3" t="s">
        <v>734</v>
      </c>
      <c r="D42" s="16" t="n">
        <v>52.94</v>
      </c>
      <c r="E42" s="16" t="n">
        <v>30.674</v>
      </c>
      <c r="F42" s="16" t="n">
        <v>68.8</v>
      </c>
      <c r="G42" s="16" t="n">
        <v>762.943</v>
      </c>
      <c r="H42" s="16" t="n">
        <v>692.829</v>
      </c>
      <c r="I42" s="14" t="s">
        <v>695</v>
      </c>
      <c r="J42" s="14" t="s">
        <v>718</v>
      </c>
      <c r="K42" s="14" t="s">
        <v>697</v>
      </c>
      <c r="L42" s="3"/>
      <c r="M42" s="3"/>
      <c r="N42" s="3"/>
      <c r="O42" s="3"/>
      <c r="P42" s="3"/>
      <c r="Q42" s="3"/>
      <c r="R42" s="3"/>
    </row>
    <row r="43" customFormat="false" ht="15" hidden="false" customHeight="false" outlineLevel="0" collapsed="false">
      <c r="C43" s="3" t="s">
        <v>735</v>
      </c>
      <c r="D43" s="16" t="n">
        <v>15.537</v>
      </c>
      <c r="E43" s="16" t="n">
        <v>19.202</v>
      </c>
      <c r="F43" s="16" t="n">
        <v>55</v>
      </c>
      <c r="G43" s="16" t="n">
        <v>60.676</v>
      </c>
      <c r="H43" s="16" t="n">
        <v>62.619</v>
      </c>
      <c r="I43" s="14" t="s">
        <v>695</v>
      </c>
      <c r="J43" s="14" t="s">
        <v>731</v>
      </c>
      <c r="K43" s="14" t="s">
        <v>697</v>
      </c>
      <c r="L43" s="3"/>
      <c r="M43" s="3"/>
      <c r="N43" s="3"/>
      <c r="O43" s="3"/>
      <c r="P43" s="3"/>
      <c r="Q43" s="3"/>
      <c r="R43" s="3"/>
    </row>
    <row r="44" customFormat="false" ht="15" hidden="false" customHeight="false" outlineLevel="0" collapsed="false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false" outlineLevel="0" collapsed="false">
      <c r="C45" s="7" t="s">
        <v>736</v>
      </c>
      <c r="D45" s="8"/>
      <c r="E45" s="8"/>
      <c r="F45" s="8"/>
      <c r="G45" s="8"/>
      <c r="H45" s="8"/>
      <c r="I45" s="8"/>
      <c r="J45" s="8"/>
      <c r="K45" s="9"/>
      <c r="L45" s="3"/>
      <c r="M45" s="3"/>
      <c r="N45" s="3"/>
      <c r="O45" s="3"/>
      <c r="P45" s="3"/>
      <c r="Q45" s="3"/>
      <c r="R45" s="3"/>
    </row>
    <row r="46" customFormat="false" ht="15" hidden="false" customHeight="false" outlineLevel="0" collapsed="false">
      <c r="C46" s="10" t="s">
        <v>686</v>
      </c>
      <c r="D46" s="11" t="s">
        <v>687</v>
      </c>
      <c r="E46" s="11" t="s">
        <v>688</v>
      </c>
      <c r="F46" s="11" t="s">
        <v>689</v>
      </c>
      <c r="G46" s="11" t="s">
        <v>690</v>
      </c>
      <c r="H46" s="11" t="s">
        <v>691</v>
      </c>
      <c r="I46" s="11" t="s">
        <v>73</v>
      </c>
      <c r="J46" s="11" t="s">
        <v>7</v>
      </c>
      <c r="K46" s="12" t="s">
        <v>737</v>
      </c>
      <c r="L46" s="3"/>
      <c r="M46" s="3"/>
      <c r="N46" s="3"/>
      <c r="O46" s="3"/>
      <c r="P46" s="3"/>
      <c r="Q46" s="3"/>
      <c r="R46" s="3"/>
    </row>
    <row r="47" customFormat="false" ht="15" hidden="false" customHeight="false" outlineLevel="0" collapsed="false">
      <c r="C47" s="3" t="s">
        <v>738</v>
      </c>
      <c r="D47" s="40" t="n">
        <v>22.4416568965694</v>
      </c>
      <c r="E47" s="40" t="n">
        <v>21.9809709685289</v>
      </c>
      <c r="F47" s="40" t="n">
        <v>24.5469815130778</v>
      </c>
      <c r="G47" s="40" t="n">
        <v>23.9168235693682</v>
      </c>
      <c r="H47" s="40" t="n">
        <v>27.1667861132833</v>
      </c>
      <c r="I47" s="14" t="s">
        <v>122</v>
      </c>
      <c r="J47" s="14" t="s">
        <v>739</v>
      </c>
      <c r="K47" s="14"/>
      <c r="L47" s="3"/>
      <c r="M47" s="3"/>
      <c r="N47" s="3"/>
      <c r="O47" s="3"/>
      <c r="P47" s="3"/>
      <c r="Q47" s="3"/>
      <c r="R47" s="3"/>
    </row>
    <row r="48" customFormat="false" ht="15" hidden="false" customHeight="false" outlineLevel="0" collapsed="false">
      <c r="C48" s="3" t="s">
        <v>740</v>
      </c>
      <c r="D48" s="40" t="n">
        <v>7.63606550955138</v>
      </c>
      <c r="E48" s="40" t="n">
        <v>9.1101774700328</v>
      </c>
      <c r="F48" s="40" t="n">
        <v>9.79149695334177</v>
      </c>
      <c r="G48" s="40" t="n">
        <v>4.29044763832088</v>
      </c>
      <c r="H48" s="40" t="n">
        <v>-10.5544009956243</v>
      </c>
      <c r="I48" s="14" t="s">
        <v>122</v>
      </c>
      <c r="J48" s="14" t="s">
        <v>739</v>
      </c>
      <c r="K48" s="14"/>
      <c r="L48" s="3"/>
      <c r="M48" s="3"/>
      <c r="N48" s="3"/>
      <c r="O48" s="3"/>
      <c r="P48" s="3"/>
      <c r="Q48" s="3"/>
      <c r="R48" s="3"/>
    </row>
    <row r="49" customFormat="false" ht="15" hidden="false" customHeight="false" outlineLevel="0" collapsed="false">
      <c r="C49" s="3" t="s">
        <v>741</v>
      </c>
      <c r="D49" s="40" t="n">
        <v>11.621705565178</v>
      </c>
      <c r="E49" s="40" t="n">
        <v>12.3937578489434</v>
      </c>
      <c r="F49" s="40" t="n">
        <v>13.5829921376847</v>
      </c>
      <c r="G49" s="40" t="n">
        <v>9.01145820127682</v>
      </c>
      <c r="H49" s="40" t="n">
        <v>-4.92522750635189</v>
      </c>
      <c r="I49" s="14" t="s">
        <v>122</v>
      </c>
      <c r="J49" s="14" t="s">
        <v>739</v>
      </c>
      <c r="K49" s="14"/>
      <c r="L49" s="3"/>
      <c r="M49" s="3"/>
      <c r="N49" s="3"/>
      <c r="O49" s="3"/>
      <c r="P49" s="3"/>
      <c r="Q49" s="3"/>
      <c r="R49" s="3"/>
    </row>
    <row r="50" customFormat="false" ht="15" hidden="false" customHeight="false" outlineLevel="0" collapsed="false">
      <c r="C50" s="3" t="s">
        <v>742</v>
      </c>
      <c r="D50" s="14" t="n">
        <v>78.588</v>
      </c>
      <c r="E50" s="14" t="n">
        <v>97.965</v>
      </c>
      <c r="F50" s="14" t="n">
        <v>147.052</v>
      </c>
      <c r="G50" s="14" t="n">
        <v>88.812</v>
      </c>
      <c r="H50" s="14" t="n">
        <v>164.897</v>
      </c>
      <c r="I50" s="14" t="s">
        <v>695</v>
      </c>
      <c r="J50" s="14" t="s">
        <v>743</v>
      </c>
      <c r="K50" s="14"/>
      <c r="L50" s="3"/>
      <c r="M50" s="3"/>
      <c r="N50" s="3"/>
      <c r="O50" s="3"/>
      <c r="P50" s="3"/>
      <c r="Q50" s="3"/>
      <c r="R50" s="3"/>
    </row>
    <row r="51" customFormat="false" ht="15" hidden="false" customHeight="false" outlineLevel="0" collapsed="false">
      <c r="C51" s="3" t="s">
        <v>744</v>
      </c>
      <c r="D51" s="14" t="n">
        <v>54.58</v>
      </c>
      <c r="E51" s="14" t="n">
        <v>64.844</v>
      </c>
      <c r="F51" s="14" t="n">
        <v>109.662</v>
      </c>
      <c r="G51" s="14" t="n">
        <v>51.726</v>
      </c>
      <c r="H51" s="14" t="n">
        <v>102.255</v>
      </c>
      <c r="I51" s="14" t="s">
        <v>695</v>
      </c>
      <c r="J51" s="14" t="s">
        <v>739</v>
      </c>
      <c r="K51" s="14" t="s">
        <v>745</v>
      </c>
      <c r="L51" s="3"/>
      <c r="M51" s="3"/>
      <c r="N51" s="3"/>
      <c r="O51" s="3"/>
      <c r="P51" s="3"/>
      <c r="Q51" s="3"/>
      <c r="R51" s="3"/>
    </row>
    <row r="52" customFormat="false" ht="15" hidden="false" customHeight="false" outlineLevel="0" collapsed="false">
      <c r="C52" s="3" t="s">
        <v>746</v>
      </c>
      <c r="D52" s="41" t="n">
        <v>0.429664050336271</v>
      </c>
      <c r="E52" s="41" t="n">
        <v>0.212708897549376</v>
      </c>
      <c r="F52" s="41" t="n">
        <v>0.455827098269811</v>
      </c>
      <c r="G52" s="41" t="n">
        <v>4.33170530447485</v>
      </c>
      <c r="H52" s="41" t="n">
        <v>3.12353113462085</v>
      </c>
      <c r="I52" s="14" t="s">
        <v>162</v>
      </c>
      <c r="J52" s="14" t="s">
        <v>739</v>
      </c>
      <c r="K52" s="14"/>
      <c r="L52" s="3"/>
      <c r="M52" s="3"/>
      <c r="N52" s="3"/>
      <c r="O52" s="3"/>
      <c r="P52" s="3"/>
      <c r="Q52" s="3"/>
      <c r="R52" s="3"/>
    </row>
    <row r="53" customFormat="false" ht="15" hidden="false" customHeight="false" outlineLevel="0" collapsed="false">
      <c r="C53" s="3" t="s">
        <v>747</v>
      </c>
      <c r="D53" s="41" t="n">
        <v>1.57623685926038</v>
      </c>
      <c r="E53" s="41" t="n">
        <v>2.00700070793676</v>
      </c>
      <c r="F53" s="41" t="n">
        <v>2.03173848792913</v>
      </c>
      <c r="G53" s="41" t="n">
        <v>2.24016828711424</v>
      </c>
      <c r="H53" s="41" t="n">
        <v>2.0379513044096</v>
      </c>
      <c r="I53" s="14" t="s">
        <v>162</v>
      </c>
      <c r="J53" s="14" t="s">
        <v>739</v>
      </c>
      <c r="K53" s="14"/>
      <c r="L53" s="3"/>
      <c r="M53" s="3"/>
      <c r="N53" s="3"/>
      <c r="O53" s="3"/>
      <c r="P53" s="3"/>
      <c r="Q53" s="3"/>
      <c r="R53" s="3"/>
    </row>
    <row r="54" customFormat="false" ht="15" hidden="false" customHeight="false" outlineLevel="0" collapsed="false">
      <c r="C54" s="3" t="s">
        <v>748</v>
      </c>
      <c r="D54" s="40"/>
      <c r="E54" s="40" t="n">
        <v>30.5277252923041</v>
      </c>
      <c r="F54" s="40" t="n">
        <v>31.207388135148</v>
      </c>
      <c r="G54" s="40" t="n">
        <v>42.2463458495518</v>
      </c>
      <c r="H54" s="40" t="n">
        <v>40.0300289882518</v>
      </c>
      <c r="I54" s="14" t="s">
        <v>150</v>
      </c>
      <c r="J54" s="14" t="s">
        <v>739</v>
      </c>
      <c r="K54" s="14" t="s">
        <v>749</v>
      </c>
      <c r="L54" s="3"/>
      <c r="M54" s="3"/>
      <c r="N54" s="3"/>
      <c r="O54" s="3"/>
      <c r="P54" s="3"/>
      <c r="Q54" s="3"/>
      <c r="R54" s="3"/>
    </row>
    <row r="55" customFormat="false" ht="15" hidden="false" customHeight="false" outlineLevel="0" collapsed="false">
      <c r="C55" s="3" t="s">
        <v>750</v>
      </c>
      <c r="D55" s="40"/>
      <c r="E55" s="40" t="n">
        <v>40.8696789310433</v>
      </c>
      <c r="F55" s="40" t="n">
        <v>46.8196719101492</v>
      </c>
      <c r="G55" s="40" t="n">
        <v>70.303924553453</v>
      </c>
      <c r="H55" s="40" t="n">
        <v>72.2237007560447</v>
      </c>
      <c r="I55" s="14" t="s">
        <v>150</v>
      </c>
      <c r="J55" s="14" t="s">
        <v>739</v>
      </c>
      <c r="K55" s="14" t="s">
        <v>751</v>
      </c>
      <c r="L55" s="3"/>
      <c r="M55" s="3"/>
      <c r="N55" s="3"/>
      <c r="O55" s="3"/>
      <c r="P55" s="3"/>
      <c r="Q55" s="3"/>
      <c r="R55" s="3"/>
    </row>
    <row r="56" customFormat="false" ht="15" hidden="false" customHeight="false" outlineLevel="0" collapsed="false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customFormat="false" ht="15" hidden="false" customHeight="false" outlineLevel="0" collapsed="false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customFormat="false" ht="15" hidden="false" customHeight="false" outlineLevel="0" collapsed="false">
      <c r="C58" s="3"/>
      <c r="D58" s="3"/>
      <c r="E58" s="3"/>
      <c r="F58" s="3"/>
      <c r="G58" s="3"/>
      <c r="H58" s="3"/>
      <c r="I58" s="3"/>
      <c r="J58" s="3"/>
      <c r="K58" s="3"/>
      <c r="L58" s="3"/>
      <c r="M58" s="42" t="s">
        <v>686</v>
      </c>
      <c r="N58" s="42" t="s">
        <v>687</v>
      </c>
      <c r="O58" s="42" t="s">
        <v>688</v>
      </c>
      <c r="P58" s="42" t="s">
        <v>689</v>
      </c>
      <c r="Q58" s="42" t="s">
        <v>690</v>
      </c>
      <c r="R58" s="42" t="s">
        <v>691</v>
      </c>
    </row>
    <row r="59" customFormat="false" ht="15" hidden="false" customHeight="false" outlineLevel="0" collapsed="false">
      <c r="C59" s="3"/>
      <c r="D59" s="3"/>
      <c r="E59" s="3"/>
      <c r="F59" s="3"/>
      <c r="G59" s="3"/>
      <c r="H59" s="3"/>
      <c r="I59" s="3"/>
      <c r="J59" s="3"/>
      <c r="K59" s="3"/>
      <c r="L59" s="3"/>
      <c r="M59" s="42" t="s">
        <v>752</v>
      </c>
      <c r="N59" s="42" t="n">
        <v>78.588</v>
      </c>
      <c r="O59" s="42" t="n">
        <v>97.965</v>
      </c>
      <c r="P59" s="42" t="n">
        <v>147.052</v>
      </c>
      <c r="Q59" s="42" t="n">
        <v>88.812</v>
      </c>
      <c r="R59" s="42" t="n">
        <v>164.897</v>
      </c>
    </row>
    <row r="60" customFormat="false" ht="15" hidden="false" customHeight="false" outlineLevel="0" collapsed="false">
      <c r="C60" s="3"/>
      <c r="D60" s="3"/>
      <c r="E60" s="3"/>
      <c r="F60" s="3"/>
      <c r="G60" s="3"/>
      <c r="H60" s="3"/>
      <c r="I60" s="3"/>
      <c r="J60" s="3"/>
      <c r="K60" s="3"/>
      <c r="L60" s="3"/>
      <c r="M60" s="42" t="s">
        <v>753</v>
      </c>
      <c r="N60" s="42" t="n">
        <v>54.58</v>
      </c>
      <c r="O60" s="42" t="n">
        <v>64.844</v>
      </c>
      <c r="P60" s="42" t="n">
        <v>109.662</v>
      </c>
      <c r="Q60" s="42" t="n">
        <v>51.726</v>
      </c>
      <c r="R60" s="42" t="n">
        <v>102.255</v>
      </c>
    </row>
  </sheetData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7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U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9" topLeftCell="D20" activePane="bottomRight" state="frozen"/>
      <selection pane="topLeft" activeCell="A1" activeCellId="0" sqref="A1"/>
      <selection pane="topRight" activeCell="D1" activeCellId="0" sqref="D1"/>
      <selection pane="bottomLeft" activeCell="A20" activeCellId="0" sqref="A2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9" min="6" style="1" width="13"/>
    <col collapsed="false" customWidth="true" hidden="false" outlineLevel="0" max="11" min="10" style="1" width="22"/>
    <col collapsed="false" customWidth="true" hidden="false" outlineLevel="0" max="12" min="12" style="1" width="24"/>
    <col collapsed="false" customWidth="true" hidden="false" outlineLevel="0" max="13" min="13" style="1" width="18"/>
    <col collapsed="false" customWidth="true" hidden="false" outlineLevel="0" max="14" min="14" style="1" width="44"/>
    <col collapsed="false" customWidth="true" hidden="false" outlineLevel="0" max="15" min="15" style="1" width="15"/>
    <col collapsed="false" customWidth="true" hidden="false" outlineLevel="0" max="17" min="16" style="1" width="34"/>
  </cols>
  <sheetData>
    <row r="2" customFormat="false" ht="18.55" hidden="false" customHeight="false" outlineLevel="0" collapsed="false">
      <c r="C2" s="2" t="s">
        <v>754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</row>
    <row r="4" customFormat="false" ht="15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755</v>
      </c>
      <c r="T4" s="3" t="s">
        <v>690</v>
      </c>
      <c r="U4" s="3" t="s">
        <v>691</v>
      </c>
    </row>
    <row r="5" customFormat="false" ht="15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 t="s">
        <v>756</v>
      </c>
      <c r="T5" s="16" t="n">
        <f aca="false">D9</f>
        <v>115.154</v>
      </c>
      <c r="U5" s="16" t="n">
        <f aca="false">E9</f>
        <v>-90.508</v>
      </c>
    </row>
    <row r="6" customFormat="false" ht="15" hidden="false" customHeight="false" outlineLevel="0" collapsed="false">
      <c r="C6" s="10" t="s">
        <v>755</v>
      </c>
      <c r="D6" s="11" t="s">
        <v>690</v>
      </c>
      <c r="E6" s="12" t="s">
        <v>691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757</v>
      </c>
      <c r="T6" s="16" t="n">
        <f aca="false">D11</f>
        <v>182.383</v>
      </c>
      <c r="U6" s="16" t="n">
        <f aca="false">E11</f>
        <v>242.89</v>
      </c>
    </row>
    <row r="7" customFormat="false" ht="15" hidden="false" customHeight="false" outlineLevel="0" collapsed="false">
      <c r="C7" s="3" t="s">
        <v>758</v>
      </c>
      <c r="D7" s="16" t="n">
        <v>54.826</v>
      </c>
      <c r="E7" s="16" t="n">
        <v>-193.952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759</v>
      </c>
      <c r="T7" s="16" t="n">
        <f aca="false">D12</f>
        <v>0</v>
      </c>
      <c r="U7" s="16" t="n">
        <f aca="false">E12</f>
        <v>229.642</v>
      </c>
    </row>
    <row r="8" customFormat="false" ht="15" hidden="false" customHeight="false" outlineLevel="0" collapsed="false">
      <c r="C8" s="3" t="s">
        <v>760</v>
      </c>
      <c r="D8" s="16" t="n">
        <v>60.328</v>
      </c>
      <c r="E8" s="16" t="n">
        <v>103.444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761</v>
      </c>
      <c r="T8" s="16" t="n">
        <f aca="false">D14</f>
        <v>179.358</v>
      </c>
      <c r="U8" s="16" t="n">
        <f aca="false">E14</f>
        <v>225.344</v>
      </c>
    </row>
    <row r="9" customFormat="false" ht="15" hidden="false" customHeight="false" outlineLevel="0" collapsed="false">
      <c r="C9" s="3" t="s">
        <v>756</v>
      </c>
      <c r="D9" s="43" t="n">
        <f aca="false">SUM(D7:D8)</f>
        <v>115.154</v>
      </c>
      <c r="E9" s="43" t="n">
        <f aca="false">SUM(E7:E8)</f>
        <v>-90.508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customFormat="false" ht="15" hidden="false" customHeight="false" outlineLevel="0" collapsed="false">
      <c r="C10" s="3" t="s">
        <v>762</v>
      </c>
      <c r="D10" s="43" t="n">
        <f aca="false">D11-D9</f>
        <v>67.229</v>
      </c>
      <c r="E10" s="43" t="n">
        <f aca="false">E11-E9</f>
        <v>333.398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customFormat="false" ht="15" hidden="false" customHeight="false" outlineLevel="0" collapsed="false">
      <c r="C11" s="3" t="s">
        <v>757</v>
      </c>
      <c r="D11" s="16" t="n">
        <v>182.383</v>
      </c>
      <c r="E11" s="16" t="n">
        <v>242.89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customFormat="false" ht="15" hidden="false" customHeight="false" outlineLevel="0" collapsed="false">
      <c r="C12" s="3" t="s">
        <v>763</v>
      </c>
      <c r="D12" s="16"/>
      <c r="E12" s="16" t="n">
        <v>229.642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customFormat="false" ht="15" hidden="false" customHeight="false" outlineLevel="0" collapsed="false">
      <c r="C13" s="3" t="s">
        <v>764</v>
      </c>
      <c r="D13" s="43" t="n">
        <f aca="false">SUMIFS($H$20:$H$30,$D$20:$D$30,D$6)</f>
        <v>64.204</v>
      </c>
      <c r="E13" s="43" t="n">
        <f aca="false">SUMIFS($H$20:$H$30,$D$20:$D$30,E$6)</f>
        <v>315.852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customFormat="false" ht="15" hidden="false" customHeight="false" outlineLevel="0" collapsed="false">
      <c r="C14" s="44" t="s">
        <v>765</v>
      </c>
      <c r="D14" s="45" t="n">
        <f aca="false">D9+D13</f>
        <v>179.358</v>
      </c>
      <c r="E14" s="45" t="n">
        <f aca="false">E9+E13</f>
        <v>225.344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customFormat="false" ht="15" hidden="false" customHeight="false" outlineLevel="0" collapsed="false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customFormat="false" ht="24" hidden="false" customHeight="true" outlineLevel="0" collapsed="false">
      <c r="C16" s="46" t="s">
        <v>766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3"/>
      <c r="S16" s="3"/>
      <c r="T16" s="3"/>
      <c r="U16" s="3"/>
    </row>
    <row r="17" customFormat="false" ht="15" hidden="false" customHeight="false" outlineLevel="0" collapsed="false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customFormat="false" ht="15" hidden="false" customHeight="false" outlineLevel="0" collapsed="false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customFormat="false" ht="26.85" hidden="false" customHeight="false" outlineLevel="0" collapsed="false">
      <c r="C19" s="10" t="s">
        <v>767</v>
      </c>
      <c r="D19" s="11" t="s">
        <v>768</v>
      </c>
      <c r="E19" s="11" t="s">
        <v>769</v>
      </c>
      <c r="F19" s="11" t="s">
        <v>770</v>
      </c>
      <c r="G19" s="11" t="s">
        <v>771</v>
      </c>
      <c r="H19" s="11" t="s">
        <v>62</v>
      </c>
      <c r="I19" s="11" t="s">
        <v>772</v>
      </c>
      <c r="J19" s="11" t="s">
        <v>773</v>
      </c>
      <c r="K19" s="11" t="s">
        <v>774</v>
      </c>
      <c r="L19" s="11" t="s">
        <v>775</v>
      </c>
      <c r="M19" s="11" t="s">
        <v>776</v>
      </c>
      <c r="N19" s="11" t="s">
        <v>777</v>
      </c>
      <c r="O19" s="11" t="s">
        <v>778</v>
      </c>
      <c r="P19" s="11" t="s">
        <v>737</v>
      </c>
      <c r="Q19" s="12" t="s">
        <v>779</v>
      </c>
      <c r="R19" s="3"/>
      <c r="S19" s="3"/>
      <c r="T19" s="3"/>
      <c r="U19" s="3"/>
    </row>
    <row r="20" customFormat="false" ht="15" hidden="false" customHeight="false" outlineLevel="0" collapsed="false">
      <c r="C20" s="14" t="s">
        <v>780</v>
      </c>
      <c r="D20" s="14" t="s">
        <v>691</v>
      </c>
      <c r="E20" s="14" t="s">
        <v>702</v>
      </c>
      <c r="F20" s="16" t="n">
        <v>302.284</v>
      </c>
      <c r="G20" s="16" t="n">
        <v>302.284</v>
      </c>
      <c r="H20" s="16" t="n">
        <v>302.284</v>
      </c>
      <c r="I20" s="16" t="n">
        <v>302.284</v>
      </c>
      <c r="J20" s="14" t="s">
        <v>781</v>
      </c>
      <c r="K20" s="14" t="s">
        <v>782</v>
      </c>
      <c r="L20" s="14" t="s">
        <v>783</v>
      </c>
      <c r="M20" s="14" t="s">
        <v>784</v>
      </c>
      <c r="N20" s="14" t="s">
        <v>785</v>
      </c>
      <c r="O20" s="14" t="s">
        <v>786</v>
      </c>
      <c r="P20" s="14" t="s">
        <v>787</v>
      </c>
      <c r="Q20" s="14" t="s">
        <v>788</v>
      </c>
      <c r="R20" s="3"/>
      <c r="S20" s="3"/>
      <c r="T20" s="3"/>
      <c r="U20" s="3"/>
    </row>
    <row r="21" customFormat="false" ht="15" hidden="false" customHeight="false" outlineLevel="0" collapsed="false">
      <c r="C21" s="14" t="s">
        <v>789</v>
      </c>
      <c r="D21" s="14" t="s">
        <v>691</v>
      </c>
      <c r="E21" s="14" t="s">
        <v>790</v>
      </c>
      <c r="F21" s="16" t="n">
        <v>1.432</v>
      </c>
      <c r="G21" s="16" t="n">
        <v>0</v>
      </c>
      <c r="H21" s="16" t="n">
        <v>0</v>
      </c>
      <c r="I21" s="16" t="n">
        <v>1.432</v>
      </c>
      <c r="J21" s="14" t="s">
        <v>791</v>
      </c>
      <c r="K21" s="14" t="s">
        <v>792</v>
      </c>
      <c r="L21" s="14" t="s">
        <v>793</v>
      </c>
      <c r="M21" s="14" t="s">
        <v>784</v>
      </c>
      <c r="N21" s="14" t="s">
        <v>794</v>
      </c>
      <c r="O21" s="14" t="s">
        <v>786</v>
      </c>
      <c r="P21" s="14" t="s">
        <v>795</v>
      </c>
      <c r="Q21" s="14" t="s">
        <v>796</v>
      </c>
      <c r="R21" s="3"/>
      <c r="S21" s="3"/>
      <c r="T21" s="3"/>
      <c r="U21" s="3"/>
    </row>
    <row r="22" customFormat="false" ht="15" hidden="false" customHeight="false" outlineLevel="0" collapsed="false">
      <c r="C22" s="14" t="s">
        <v>797</v>
      </c>
      <c r="D22" s="14" t="s">
        <v>691</v>
      </c>
      <c r="E22" s="14" t="s">
        <v>798</v>
      </c>
      <c r="F22" s="16" t="n">
        <v>0.221</v>
      </c>
      <c r="G22" s="16" t="n">
        <v>0</v>
      </c>
      <c r="H22" s="16" t="n">
        <v>0</v>
      </c>
      <c r="I22" s="16" t="n">
        <v>0.221</v>
      </c>
      <c r="J22" s="14" t="s">
        <v>791</v>
      </c>
      <c r="K22" s="14" t="s">
        <v>792</v>
      </c>
      <c r="L22" s="14" t="s">
        <v>793</v>
      </c>
      <c r="M22" s="14" t="s">
        <v>784</v>
      </c>
      <c r="N22" s="14" t="s">
        <v>794</v>
      </c>
      <c r="O22" s="14" t="s">
        <v>786</v>
      </c>
      <c r="P22" s="14" t="s">
        <v>795</v>
      </c>
      <c r="Q22" s="14" t="s">
        <v>799</v>
      </c>
      <c r="R22" s="3"/>
      <c r="S22" s="3"/>
      <c r="T22" s="3"/>
      <c r="U22" s="3"/>
    </row>
    <row r="23" customFormat="false" ht="15" hidden="false" customHeight="false" outlineLevel="0" collapsed="false">
      <c r="C23" s="14" t="s">
        <v>800</v>
      </c>
      <c r="D23" s="14" t="s">
        <v>691</v>
      </c>
      <c r="E23" s="14" t="s">
        <v>801</v>
      </c>
      <c r="F23" s="16" t="n">
        <v>9.007</v>
      </c>
      <c r="G23" s="16" t="n">
        <v>9.007</v>
      </c>
      <c r="H23" s="16" t="n">
        <v>9.007</v>
      </c>
      <c r="I23" s="16" t="n">
        <v>9.007</v>
      </c>
      <c r="J23" s="14" t="s">
        <v>802</v>
      </c>
      <c r="K23" s="14" t="s">
        <v>803</v>
      </c>
      <c r="L23" s="14" t="s">
        <v>804</v>
      </c>
      <c r="M23" s="14" t="s">
        <v>784</v>
      </c>
      <c r="N23" s="14" t="s">
        <v>805</v>
      </c>
      <c r="O23" s="14" t="s">
        <v>786</v>
      </c>
      <c r="P23" s="14" t="s">
        <v>806</v>
      </c>
      <c r="Q23" s="14" t="s">
        <v>807</v>
      </c>
      <c r="R23" s="3"/>
      <c r="S23" s="3"/>
      <c r="T23" s="3"/>
      <c r="U23" s="3"/>
    </row>
    <row r="24" customFormat="false" ht="15" hidden="false" customHeight="false" outlineLevel="0" collapsed="false">
      <c r="C24" s="14" t="s">
        <v>808</v>
      </c>
      <c r="D24" s="14" t="s">
        <v>691</v>
      </c>
      <c r="E24" s="14" t="s">
        <v>809</v>
      </c>
      <c r="F24" s="16" t="n">
        <v>10.263</v>
      </c>
      <c r="G24" s="16" t="n">
        <v>0</v>
      </c>
      <c r="H24" s="16" t="n">
        <v>0</v>
      </c>
      <c r="I24" s="16" t="n">
        <v>10.263</v>
      </c>
      <c r="J24" s="14" t="s">
        <v>810</v>
      </c>
      <c r="K24" s="14" t="s">
        <v>811</v>
      </c>
      <c r="L24" s="14" t="s">
        <v>812</v>
      </c>
      <c r="M24" s="14" t="s">
        <v>784</v>
      </c>
      <c r="N24" s="14" t="s">
        <v>813</v>
      </c>
      <c r="O24" s="14" t="s">
        <v>786</v>
      </c>
      <c r="P24" s="14" t="s">
        <v>814</v>
      </c>
      <c r="Q24" s="14" t="s">
        <v>815</v>
      </c>
      <c r="R24" s="3"/>
      <c r="S24" s="3"/>
      <c r="T24" s="3"/>
      <c r="U24" s="3"/>
    </row>
    <row r="25" customFormat="false" ht="15" hidden="false" customHeight="false" outlineLevel="0" collapsed="false">
      <c r="C25" s="14" t="s">
        <v>816</v>
      </c>
      <c r="D25" s="14" t="s">
        <v>691</v>
      </c>
      <c r="E25" s="14" t="s">
        <v>817</v>
      </c>
      <c r="F25" s="16" t="n">
        <v>10.191</v>
      </c>
      <c r="G25" s="16" t="n">
        <v>4.561</v>
      </c>
      <c r="H25" s="16" t="n">
        <v>4.561</v>
      </c>
      <c r="I25" s="16" t="n">
        <v>10.191</v>
      </c>
      <c r="J25" s="14" t="s">
        <v>818</v>
      </c>
      <c r="K25" s="14" t="s">
        <v>819</v>
      </c>
      <c r="L25" s="14" t="s">
        <v>820</v>
      </c>
      <c r="M25" s="14" t="s">
        <v>784</v>
      </c>
      <c r="N25" s="14" t="s">
        <v>821</v>
      </c>
      <c r="O25" s="14" t="s">
        <v>786</v>
      </c>
      <c r="P25" s="14" t="s">
        <v>822</v>
      </c>
      <c r="Q25" s="14" t="s">
        <v>823</v>
      </c>
      <c r="R25" s="3"/>
      <c r="S25" s="3"/>
      <c r="T25" s="3"/>
      <c r="U25" s="3"/>
    </row>
    <row r="26" customFormat="false" ht="15" hidden="false" customHeight="false" outlineLevel="0" collapsed="false">
      <c r="C26" s="14" t="s">
        <v>824</v>
      </c>
      <c r="D26" s="14" t="s">
        <v>691</v>
      </c>
      <c r="E26" s="14" t="s">
        <v>825</v>
      </c>
      <c r="F26" s="16" t="n">
        <v>9</v>
      </c>
      <c r="G26" s="16" t="n">
        <v>0</v>
      </c>
      <c r="H26" s="16" t="n">
        <v>0</v>
      </c>
      <c r="I26" s="16" t="n">
        <v>0</v>
      </c>
      <c r="J26" s="14" t="s">
        <v>826</v>
      </c>
      <c r="K26" s="14" t="s">
        <v>827</v>
      </c>
      <c r="L26" s="14" t="s">
        <v>828</v>
      </c>
      <c r="M26" s="14" t="s">
        <v>784</v>
      </c>
      <c r="N26" s="14" t="s">
        <v>829</v>
      </c>
      <c r="O26" s="14" t="s">
        <v>703</v>
      </c>
      <c r="P26" s="14" t="s">
        <v>830</v>
      </c>
      <c r="Q26" s="14" t="s">
        <v>831</v>
      </c>
      <c r="R26" s="3"/>
      <c r="S26" s="3"/>
      <c r="T26" s="3"/>
      <c r="U26" s="3"/>
    </row>
    <row r="27" customFormat="false" ht="15" hidden="false" customHeight="false" outlineLevel="0" collapsed="false">
      <c r="C27" s="14" t="s">
        <v>832</v>
      </c>
      <c r="D27" s="14" t="s">
        <v>690</v>
      </c>
      <c r="E27" s="14" t="s">
        <v>833</v>
      </c>
      <c r="F27" s="16" t="n">
        <v>3.025</v>
      </c>
      <c r="G27" s="16" t="n">
        <v>0</v>
      </c>
      <c r="H27" s="16" t="n">
        <v>0</v>
      </c>
      <c r="I27" s="16" t="n">
        <v>3.025</v>
      </c>
      <c r="J27" s="14" t="s">
        <v>791</v>
      </c>
      <c r="K27" s="14" t="s">
        <v>834</v>
      </c>
      <c r="L27" s="14" t="s">
        <v>793</v>
      </c>
      <c r="M27" s="14" t="s">
        <v>784</v>
      </c>
      <c r="N27" s="14" t="s">
        <v>835</v>
      </c>
      <c r="O27" s="14" t="s">
        <v>786</v>
      </c>
      <c r="P27" s="14" t="s">
        <v>836</v>
      </c>
      <c r="Q27" s="14" t="s">
        <v>837</v>
      </c>
      <c r="R27" s="3"/>
      <c r="S27" s="3"/>
      <c r="T27" s="3"/>
      <c r="U27" s="3"/>
    </row>
    <row r="28" customFormat="false" ht="15" hidden="false" customHeight="false" outlineLevel="0" collapsed="false">
      <c r="C28" s="14" t="s">
        <v>838</v>
      </c>
      <c r="D28" s="14" t="s">
        <v>690</v>
      </c>
      <c r="E28" s="14" t="s">
        <v>839</v>
      </c>
      <c r="F28" s="16" t="n">
        <v>-4.196</v>
      </c>
      <c r="G28" s="16" t="n">
        <v>-4.196</v>
      </c>
      <c r="H28" s="16" t="n">
        <v>-4.196</v>
      </c>
      <c r="I28" s="16" t="n">
        <v>-4.196</v>
      </c>
      <c r="J28" s="14" t="s">
        <v>840</v>
      </c>
      <c r="K28" s="14" t="s">
        <v>841</v>
      </c>
      <c r="L28" s="14" t="s">
        <v>842</v>
      </c>
      <c r="M28" s="14" t="s">
        <v>784</v>
      </c>
      <c r="N28" s="14" t="s">
        <v>843</v>
      </c>
      <c r="O28" s="14" t="s">
        <v>786</v>
      </c>
      <c r="P28" s="14" t="s">
        <v>844</v>
      </c>
      <c r="Q28" s="14" t="s">
        <v>845</v>
      </c>
      <c r="R28" s="3"/>
      <c r="S28" s="3"/>
      <c r="T28" s="3"/>
      <c r="U28" s="3"/>
    </row>
    <row r="29" customFormat="false" ht="15" hidden="false" customHeight="false" outlineLevel="0" collapsed="false">
      <c r="C29" s="14" t="s">
        <v>846</v>
      </c>
      <c r="D29" s="14" t="s">
        <v>690</v>
      </c>
      <c r="E29" s="14" t="s">
        <v>847</v>
      </c>
      <c r="F29" s="16" t="n">
        <v>29.076</v>
      </c>
      <c r="G29" s="16" t="n">
        <v>29.076</v>
      </c>
      <c r="H29" s="16" t="n">
        <v>29.076</v>
      </c>
      <c r="I29" s="16" t="n">
        <v>29.076</v>
      </c>
      <c r="J29" s="14" t="s">
        <v>802</v>
      </c>
      <c r="K29" s="14" t="s">
        <v>848</v>
      </c>
      <c r="L29" s="14" t="s">
        <v>849</v>
      </c>
      <c r="M29" s="14" t="s">
        <v>784</v>
      </c>
      <c r="N29" s="14" t="s">
        <v>850</v>
      </c>
      <c r="O29" s="14" t="s">
        <v>786</v>
      </c>
      <c r="P29" s="14" t="s">
        <v>851</v>
      </c>
      <c r="Q29" s="14" t="s">
        <v>852</v>
      </c>
      <c r="R29" s="3"/>
      <c r="S29" s="3"/>
      <c r="T29" s="3"/>
      <c r="U29" s="3"/>
    </row>
    <row r="30" customFormat="false" ht="15" hidden="false" customHeight="false" outlineLevel="0" collapsed="false">
      <c r="C30" s="14" t="s">
        <v>853</v>
      </c>
      <c r="D30" s="14" t="s">
        <v>690</v>
      </c>
      <c r="E30" s="14" t="s">
        <v>854</v>
      </c>
      <c r="F30" s="16" t="n">
        <v>39.324</v>
      </c>
      <c r="G30" s="16" t="n">
        <v>39.324</v>
      </c>
      <c r="H30" s="16" t="n">
        <v>39.324</v>
      </c>
      <c r="I30" s="16" t="n">
        <v>39.324</v>
      </c>
      <c r="J30" s="14" t="s">
        <v>855</v>
      </c>
      <c r="K30" s="14" t="s">
        <v>856</v>
      </c>
      <c r="L30" s="14" t="s">
        <v>857</v>
      </c>
      <c r="M30" s="14" t="s">
        <v>784</v>
      </c>
      <c r="N30" s="14" t="s">
        <v>858</v>
      </c>
      <c r="O30" s="14" t="s">
        <v>786</v>
      </c>
      <c r="P30" s="14" t="s">
        <v>859</v>
      </c>
      <c r="Q30" s="14" t="s">
        <v>860</v>
      </c>
      <c r="R30" s="3"/>
      <c r="S30" s="3"/>
      <c r="T30" s="3"/>
      <c r="U30" s="3"/>
    </row>
  </sheetData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7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34"/>
    <col collapsed="false" customWidth="true" hidden="false" outlineLevel="0" max="4" min="4" style="1" width="17"/>
    <col collapsed="false" customWidth="true" hidden="false" outlineLevel="0" max="5" min="5" style="1" width="20"/>
    <col collapsed="false" customWidth="true" hidden="false" outlineLevel="0" max="6" min="6" style="1" width="36"/>
    <col collapsed="false" customWidth="true" hidden="false" outlineLevel="0" max="7" min="7" style="1" width="42"/>
  </cols>
  <sheetData>
    <row r="2" customFormat="false" ht="18.55" hidden="false" customHeight="false" outlineLevel="0" collapsed="false">
      <c r="C2" s="2" t="s">
        <v>861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false" outlineLevel="0" collapsed="false">
      <c r="C4" s="3" t="s">
        <v>1</v>
      </c>
      <c r="D4" s="5" t="str">
        <f aca="false">Assumptions!$D$4</f>
        <v>Base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C6" s="7" t="s">
        <v>862</v>
      </c>
      <c r="D6" s="8"/>
      <c r="E6" s="8"/>
      <c r="F6" s="9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C7" s="10" t="s">
        <v>78</v>
      </c>
      <c r="D7" s="12" t="s">
        <v>81</v>
      </c>
      <c r="E7" s="3"/>
      <c r="F7" s="3" t="s">
        <v>863</v>
      </c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C8" s="3" t="s">
        <v>864</v>
      </c>
      <c r="D8" s="16" t="n">
        <f aca="false">Assumptions!D12</f>
        <v>635</v>
      </c>
      <c r="E8" s="3"/>
      <c r="F8" s="3" t="s">
        <v>865</v>
      </c>
      <c r="G8" s="16" t="n">
        <v>679.89771875</v>
      </c>
      <c r="H8" s="3"/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C9" s="3" t="s">
        <v>101</v>
      </c>
      <c r="D9" s="16" t="n">
        <f aca="false">Assumptions!D15</f>
        <v>29.89771875</v>
      </c>
      <c r="E9" s="3"/>
      <c r="F9" s="3" t="s">
        <v>866</v>
      </c>
      <c r="G9" s="16" t="n">
        <v>679.89771875</v>
      </c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C10" s="3" t="s">
        <v>867</v>
      </c>
      <c r="D10" s="16" t="n">
        <f aca="false">Assumptions!D13</f>
        <v>15</v>
      </c>
      <c r="E10" s="3"/>
      <c r="F10" s="3" t="s">
        <v>868</v>
      </c>
      <c r="G10" s="43" t="n">
        <f aca="false">D11-G9</f>
        <v>0</v>
      </c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C11" s="3" t="s">
        <v>869</v>
      </c>
      <c r="D11" s="16" t="n">
        <f aca="false">SUM(D8:D10)</f>
        <v>679.89771875</v>
      </c>
      <c r="E11" s="3"/>
      <c r="F11" s="3" t="s">
        <v>870</v>
      </c>
      <c r="G11" s="3" t="s">
        <v>871</v>
      </c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C12" s="3"/>
      <c r="D12" s="43" t="n">
        <f aca="false">G10</f>
        <v>0</v>
      </c>
      <c r="E12" s="3"/>
      <c r="F12" s="3" t="s">
        <v>872</v>
      </c>
      <c r="G12" s="19" t="str">
        <f aca="false">IF(ABS(G10)&lt;=0.001,"PASS","FAIL")</f>
        <v>PASS</v>
      </c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C14" s="7" t="s">
        <v>873</v>
      </c>
      <c r="D14" s="8"/>
      <c r="E14" s="8"/>
      <c r="F14" s="9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C15" s="3" t="s">
        <v>874</v>
      </c>
      <c r="D15" s="16" t="n">
        <f aca="false">Assumptions!D12+Assumptions!D15</f>
        <v>664.89771875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C16" s="3" t="s">
        <v>114</v>
      </c>
      <c r="D16" s="16" t="n">
        <f aca="false">Assumptions!D17</f>
        <v>62.619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C17" s="3" t="s">
        <v>23</v>
      </c>
      <c r="D17" s="16" t="n">
        <f aca="false">SUM(D15:D16)</f>
        <v>727.51671875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C18" s="3" t="s">
        <v>875</v>
      </c>
      <c r="D18" s="17" t="n">
        <f aca="false">D17/'Credit Adjustments'!E14</f>
        <v>3.22847166443304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C20" s="7" t="s">
        <v>876</v>
      </c>
      <c r="D20" s="8"/>
      <c r="E20" s="8"/>
      <c r="F20" s="8"/>
      <c r="G20" s="9"/>
      <c r="H20" s="3"/>
      <c r="I20" s="3"/>
      <c r="J20" s="3"/>
      <c r="K20" s="3"/>
      <c r="L20" s="3"/>
      <c r="M20" s="3"/>
      <c r="N20" s="3"/>
    </row>
    <row r="21" customFormat="false" ht="26.85" hidden="false" customHeight="false" outlineLevel="0" collapsed="false">
      <c r="C21" s="10" t="s">
        <v>54</v>
      </c>
      <c r="D21" s="11" t="s">
        <v>877</v>
      </c>
      <c r="E21" s="11" t="s">
        <v>672</v>
      </c>
      <c r="F21" s="11" t="s">
        <v>60</v>
      </c>
      <c r="G21" s="12" t="s">
        <v>878</v>
      </c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C22" s="3" t="s">
        <v>879</v>
      </c>
      <c r="D22" s="16" t="n">
        <v>703.869</v>
      </c>
      <c r="E22" s="16" t="n">
        <v>495.36828120671</v>
      </c>
      <c r="F22" s="16" t="n">
        <v>432.74928120671</v>
      </c>
      <c r="G22" s="16" t="n">
        <v>261.40228125</v>
      </c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C23" s="3" t="s">
        <v>880</v>
      </c>
      <c r="D23" s="16" t="n">
        <f aca="false">D17</f>
        <v>727.51671875</v>
      </c>
      <c r="E23" s="16" t="n">
        <v>514.75370778618</v>
      </c>
      <c r="F23" s="16" t="n">
        <v>324.779705120148</v>
      </c>
      <c r="G23" s="16" t="n">
        <v>263.90228125</v>
      </c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C24" s="3" t="s">
        <v>881</v>
      </c>
      <c r="D24" s="16" t="n">
        <v>742.51671875</v>
      </c>
      <c r="E24" s="16" t="n">
        <v>507.953659250871</v>
      </c>
      <c r="F24" s="16" t="n">
        <v>340.947831221593</v>
      </c>
      <c r="G24" s="16" t="n">
        <v>253.845834944111</v>
      </c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C26" s="3" t="s">
        <v>882</v>
      </c>
      <c r="D26" s="3" t="s">
        <v>49</v>
      </c>
      <c r="E26" s="3" t="s">
        <v>49</v>
      </c>
      <c r="F26" s="3" t="s">
        <v>49</v>
      </c>
      <c r="G26" s="3" t="s">
        <v>883</v>
      </c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C28" s="7" t="s">
        <v>884</v>
      </c>
      <c r="D28" s="8"/>
      <c r="E28" s="8"/>
      <c r="F28" s="8"/>
      <c r="G28" s="9"/>
      <c r="H28" s="3"/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C29" s="3" t="s">
        <v>95</v>
      </c>
      <c r="D29" s="16" t="n">
        <f aca="false">Assumptions!D14</f>
        <v>300</v>
      </c>
      <c r="E29" s="3"/>
      <c r="F29" s="3" t="s">
        <v>885</v>
      </c>
      <c r="G29" s="3" t="s">
        <v>49</v>
      </c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C30" s="3" t="s">
        <v>107</v>
      </c>
      <c r="D30" s="16" t="n">
        <f aca="false">Assumptions!D16</f>
        <v>6.2</v>
      </c>
      <c r="E30" s="3"/>
      <c r="F30" s="3" t="s">
        <v>886</v>
      </c>
      <c r="G30" s="3" t="s">
        <v>46</v>
      </c>
      <c r="H30" s="3"/>
      <c r="I30" s="3"/>
      <c r="J30" s="3"/>
      <c r="K30" s="3"/>
      <c r="L30" s="3"/>
      <c r="M30" s="3"/>
      <c r="N30" s="3"/>
    </row>
    <row r="31" customFormat="false" ht="15" hidden="false" customHeight="false" outlineLevel="0" collapsed="false">
      <c r="C31" s="3" t="s">
        <v>887</v>
      </c>
      <c r="D31" s="16" t="n">
        <f aca="false">Assumptions!D14-Assumptions!D15</f>
        <v>270.10228125</v>
      </c>
      <c r="E31" s="3"/>
      <c r="F31" s="3" t="s">
        <v>888</v>
      </c>
      <c r="G31" s="3" t="s">
        <v>46</v>
      </c>
      <c r="H31" s="3"/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C32" s="3" t="s">
        <v>889</v>
      </c>
      <c r="D32" s="16" t="n">
        <f aca="false">Assumptions!D14-Assumptions!D16-Assumptions!D15</f>
        <v>263.90228125</v>
      </c>
      <c r="E32" s="3"/>
      <c r="F32" s="3" t="s">
        <v>890</v>
      </c>
      <c r="G32" s="3" t="s">
        <v>46</v>
      </c>
      <c r="H32" s="3"/>
      <c r="I32" s="3"/>
      <c r="J32" s="3"/>
      <c r="K32" s="3"/>
      <c r="L32" s="3"/>
      <c r="M32" s="3"/>
      <c r="N32" s="3"/>
    </row>
  </sheetData>
  <conditionalFormatting sqref="G11:G12">
    <cfRule type="containsText" priority="2" operator="containsText" aboveAverage="0" equalAverage="0" bottom="0" percent="0" rank="0" text="BREACH" dxfId="25">
      <formula>NOT(ISERROR(SEARCH("BREACH",G11)))</formula>
    </cfRule>
    <cfRule type="containsText" priority="3" operator="containsText" aboveAverage="0" equalAverage="0" bottom="0" percent="0" rank="0" text="FAIL" dxfId="26">
      <formula>NOT(ISERROR(SEARCH("FAIL",G11)))</formula>
    </cfRule>
    <cfRule type="containsText" priority="4" operator="containsText" aboveAverage="0" equalAverage="0" bottom="0" percent="0" rank="0" text="WARNING" dxfId="27">
      <formula>NOT(ISERROR(SEARCH("WARNING",G11)))</formula>
    </cfRule>
    <cfRule type="containsText" priority="5" operator="containsText" aboveAverage="0" equalAverage="0" bottom="0" percent="0" rank="0" text="STALE" dxfId="28">
      <formula>NOT(ISERROR(SEARCH("STALE",G11)))</formula>
    </cfRule>
    <cfRule type="containsText" priority="6" operator="containsText" aboveAverage="0" equalAverage="0" bottom="0" percent="0" rank="0" text="N/D" dxfId="29">
      <formula>NOT(ISERROR(SEARCH("N/D",G11)))</formula>
    </cfRule>
  </conditionalFormatting>
  <conditionalFormatting sqref="D26:F26">
    <cfRule type="containsText" priority="7" operator="containsText" aboveAverage="0" equalAverage="0" bottom="0" percent="0" rank="0" text="BREACH" dxfId="30">
      <formula>NOT(ISERROR(SEARCH("BREACH",D26)))</formula>
    </cfRule>
    <cfRule type="containsText" priority="8" operator="containsText" aboveAverage="0" equalAverage="0" bottom="0" percent="0" rank="0" text="FAIL" dxfId="31">
      <formula>NOT(ISERROR(SEARCH("FAIL",D26)))</formula>
    </cfRule>
    <cfRule type="containsText" priority="9" operator="containsText" aboveAverage="0" equalAverage="0" bottom="0" percent="0" rank="0" text="WARNING" dxfId="32">
      <formula>NOT(ISERROR(SEARCH("WARNING",D26)))</formula>
    </cfRule>
    <cfRule type="containsText" priority="10" operator="containsText" aboveAverage="0" equalAverage="0" bottom="0" percent="0" rank="0" text="STALE" dxfId="33">
      <formula>NOT(ISERROR(SEARCH("STALE",D26)))</formula>
    </cfRule>
    <cfRule type="containsText" priority="11" operator="containsText" aboveAverage="0" equalAverage="0" bottom="0" percent="0" rank="0" text="N/D" dxfId="34">
      <formula>NOT(ISERROR(SEARCH("N/D",D26)))</formula>
    </cfRule>
  </conditionalFormatting>
  <conditionalFormatting sqref="G29:G32">
    <cfRule type="containsText" priority="12" operator="containsText" aboveAverage="0" equalAverage="0" bottom="0" percent="0" rank="0" text="BREACH" dxfId="35">
      <formula>NOT(ISERROR(SEARCH("BREACH",G29)))</formula>
    </cfRule>
    <cfRule type="containsText" priority="13" operator="containsText" aboveAverage="0" equalAverage="0" bottom="0" percent="0" rank="0" text="FAIL" dxfId="36">
      <formula>NOT(ISERROR(SEARCH("FAIL",G29)))</formula>
    </cfRule>
    <cfRule type="containsText" priority="14" operator="containsText" aboveAverage="0" equalAverage="0" bottom="0" percent="0" rank="0" text="WARNING" dxfId="37">
      <formula>NOT(ISERROR(SEARCH("WARNING",G29)))</formula>
    </cfRule>
    <cfRule type="containsText" priority="15" operator="containsText" aboveAverage="0" equalAverage="0" bottom="0" percent="0" rank="0" text="STALE" dxfId="38">
      <formula>NOT(ISERROR(SEARCH("STALE",G29)))</formula>
    </cfRule>
    <cfRule type="containsText" priority="16" operator="containsText" aboveAverage="0" equalAverage="0" bottom="0" percent="0" rank="0" text="N/D" dxfId="39">
      <formula>NOT(ISERROR(SEARCH("N/D",G29)))</formula>
    </cfRule>
  </conditionalFormatting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W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31"/>
  </cols>
  <sheetData>
    <row r="2" customFormat="false" ht="18.55" hidden="false" customHeight="false" outlineLevel="0" collapsed="false">
      <c r="C2" s="2" t="s">
        <v>891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3"/>
    </row>
    <row r="4" customFormat="false" ht="15" hidden="false" customHeight="false" outlineLevel="0" collapsed="false">
      <c r="C4" s="3" t="s">
        <v>1</v>
      </c>
      <c r="D4" s="5" t="str">
        <f aca="false">Assumptions!$D$4</f>
        <v>Base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" hidden="false" customHeight="false" outlineLevel="0" collapsed="false">
      <c r="C7" s="10" t="s">
        <v>686</v>
      </c>
      <c r="D7" s="11" t="s">
        <v>892</v>
      </c>
      <c r="E7" s="11" t="s">
        <v>893</v>
      </c>
      <c r="F7" s="11" t="s">
        <v>894</v>
      </c>
      <c r="G7" s="11" t="s">
        <v>895</v>
      </c>
      <c r="H7" s="11" t="s">
        <v>896</v>
      </c>
      <c r="I7" s="11" t="s">
        <v>897</v>
      </c>
      <c r="J7" s="11" t="s">
        <v>898</v>
      </c>
      <c r="K7" s="11" t="s">
        <v>899</v>
      </c>
      <c r="L7" s="11" t="s">
        <v>900</v>
      </c>
      <c r="M7" s="11" t="s">
        <v>901</v>
      </c>
      <c r="N7" s="11" t="s">
        <v>902</v>
      </c>
      <c r="O7" s="11" t="s">
        <v>903</v>
      </c>
      <c r="P7" s="11" t="s">
        <v>904</v>
      </c>
      <c r="Q7" s="11" t="s">
        <v>905</v>
      </c>
      <c r="R7" s="11" t="s">
        <v>906</v>
      </c>
      <c r="S7" s="11" t="s">
        <v>907</v>
      </c>
      <c r="T7" s="11" t="s">
        <v>908</v>
      </c>
      <c r="U7" s="11" t="s">
        <v>909</v>
      </c>
      <c r="V7" s="11" t="s">
        <v>910</v>
      </c>
      <c r="W7" s="12" t="s">
        <v>911</v>
      </c>
    </row>
    <row r="8" customFormat="false" ht="15" hidden="false" customHeight="false" outlineLevel="0" collapsed="false">
      <c r="C8" s="3"/>
      <c r="D8" s="13" t="n">
        <v>46142</v>
      </c>
      <c r="E8" s="13" t="n">
        <v>46234</v>
      </c>
      <c r="F8" s="13" t="n">
        <v>46326</v>
      </c>
      <c r="G8" s="13" t="n">
        <v>46418</v>
      </c>
      <c r="H8" s="13" t="n">
        <v>46507</v>
      </c>
      <c r="I8" s="13" t="n">
        <v>46599</v>
      </c>
      <c r="J8" s="13" t="n">
        <v>46691</v>
      </c>
      <c r="K8" s="13" t="n">
        <v>46783</v>
      </c>
      <c r="L8" s="13" t="n">
        <v>46873</v>
      </c>
      <c r="M8" s="13" t="n">
        <v>46965</v>
      </c>
      <c r="N8" s="13" t="n">
        <v>47057</v>
      </c>
      <c r="O8" s="13" t="n">
        <v>47149</v>
      </c>
      <c r="P8" s="13" t="n">
        <v>47238</v>
      </c>
      <c r="Q8" s="13" t="n">
        <v>47330</v>
      </c>
      <c r="R8" s="13" t="n">
        <v>47422</v>
      </c>
      <c r="S8" s="13" t="n">
        <v>47514</v>
      </c>
      <c r="T8" s="13" t="n">
        <v>47603</v>
      </c>
      <c r="U8" s="13" t="n">
        <v>47695</v>
      </c>
      <c r="V8" s="13" t="n">
        <v>47787</v>
      </c>
      <c r="W8" s="13" t="n">
        <v>47879</v>
      </c>
    </row>
    <row r="9" customFormat="false" ht="15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" hidden="false" customHeight="false" outlineLevel="0" collapsed="false">
      <c r="C10" s="3" t="s">
        <v>694</v>
      </c>
      <c r="D10" s="16" t="n">
        <f aca="false">SUMIFS(Assumptions!$L$41:$L$364,Assumptions!$C$41:$C$364,$D$4,Assumptions!$I$41:$I$364,"FY2026",Assumptions!$J$41:$J$364,"Q2")</f>
        <v>452.46668805</v>
      </c>
      <c r="E10" s="16" t="n">
        <f aca="false">SUMIFS(Assumptions!$L$41:$L$364,Assumptions!$C$41:$C$364,$D$4,Assumptions!$I$41:$I$364,"FY2026",Assumptions!$J$41:$J$364,"Q3")</f>
        <v>495.260618175</v>
      </c>
      <c r="F10" s="16" t="n">
        <f aca="false">SUMIFS(Assumptions!$L$41:$L$364,Assumptions!$C$41:$C$364,$D$4,Assumptions!$I$41:$I$364,"FY2026",Assumptions!$J$41:$J$364,"Q4")</f>
        <v>489.83375385</v>
      </c>
      <c r="G10" s="16" t="n">
        <f aca="false">SUMIFS(Assumptions!$L$41:$L$364,Assumptions!$C$41:$C$364,$D$4,Assumptions!$I$41:$I$364,"FY2027",Assumptions!$J$41:$J$364,"Q1")</f>
        <v>400.023998050029</v>
      </c>
      <c r="H10" s="16" t="n">
        <f aca="false">SUMIFS(Assumptions!$L$41:$L$364,Assumptions!$C$41:$C$364,$D$4,Assumptions!$I$41:$I$364,"FY2027",Assumptions!$J$41:$J$364,"Q2")</f>
        <v>452.455376382798</v>
      </c>
      <c r="I10" s="16" t="n">
        <f aca="false">SUMIFS(Assumptions!$L$41:$L$364,Assumptions!$C$41:$C$364,$D$4,Assumptions!$I$41:$I$364,"FY2027",Assumptions!$J$41:$J$364,"Q3")</f>
        <v>495.248236659546</v>
      </c>
      <c r="J10" s="16" t="n">
        <f aca="false">SUMIFS(Assumptions!$L$41:$L$364,Assumptions!$C$41:$C$364,$D$4,Assumptions!$I$41:$I$364,"FY2027",Assumptions!$J$41:$J$364,"Q4")</f>
        <v>489.821508006153</v>
      </c>
      <c r="K10" s="16" t="n">
        <f aca="false">SUMIFS(Assumptions!$L$41:$L$364,Assumptions!$C$41:$C$364,$D$4,Assumptions!$I$41:$I$364,"FY2028",Assumptions!$J$41:$J$364,"Q1")</f>
        <v>400.013997450075</v>
      </c>
      <c r="L10" s="16" t="n">
        <f aca="false">SUMIFS(Assumptions!$L$41:$L$364,Assumptions!$C$41:$C$364,$D$4,Assumptions!$I$41:$I$364,"FY2028",Assumptions!$J$41:$J$364,"Q2")</f>
        <v>452.444064998389</v>
      </c>
      <c r="M10" s="16" t="n">
        <f aca="false">SUMIFS(Assumptions!$L$41:$L$364,Assumptions!$C$41:$C$364,$D$4,Assumptions!$I$41:$I$364,"FY2028",Assumptions!$J$41:$J$364,"Q3")</f>
        <v>495.235855453629</v>
      </c>
      <c r="N10" s="16" t="n">
        <f aca="false">SUMIFS(Assumptions!$L$41:$L$364,Assumptions!$C$41:$C$364,$D$4,Assumptions!$I$41:$I$364,"FY2028",Assumptions!$J$41:$J$364,"Q4")</f>
        <v>489.809262468454</v>
      </c>
      <c r="O10" s="16" t="n">
        <f aca="false">SUMIFS(Assumptions!$L$41:$L$364,Assumptions!$C$41:$C$364,$D$4,Assumptions!$I$41:$I$364,"FY2029",Assumptions!$J$41:$J$364,"Q1")</f>
        <v>400.00399710014</v>
      </c>
      <c r="P10" s="16" t="n">
        <f aca="false">SUMIFS(Assumptions!$L$41:$L$364,Assumptions!$C$41:$C$364,$D$4,Assumptions!$I$41:$I$364,"FY2029",Assumptions!$J$41:$J$364,"Q2")</f>
        <v>452.432753896764</v>
      </c>
      <c r="Q10" s="16" t="n">
        <f aca="false">SUMIFS(Assumptions!$L$41:$L$364,Assumptions!$C$41:$C$364,$D$4,Assumptions!$I$41:$I$364,"FY2029",Assumptions!$J$41:$J$364,"Q3")</f>
        <v>495.223474557243</v>
      </c>
      <c r="R10" s="16" t="n">
        <f aca="false">SUMIFS(Assumptions!$L$41:$L$364,Assumptions!$C$41:$C$364,$D$4,Assumptions!$I$41:$I$364,"FY2029",Assumptions!$J$41:$J$364,"Q4")</f>
        <v>489.797017236892</v>
      </c>
      <c r="S10" s="16" t="n">
        <f aca="false">SUMIFS(Assumptions!$L$41:$L$364,Assumptions!$C$41:$C$364,$D$4,Assumptions!$I$41:$I$364,"FY2030",Assumptions!$J$41:$J$364,"Q1")</f>
        <v>399.993997000213</v>
      </c>
      <c r="T10" s="16" t="n">
        <f aca="false">SUMIFS(Assumptions!$L$41:$L$364,Assumptions!$C$41:$C$364,$D$4,Assumptions!$I$41:$I$364,"FY2030",Assumptions!$J$41:$J$364,"Q2")</f>
        <v>452.421443077917</v>
      </c>
      <c r="U10" s="16" t="n">
        <f aca="false">SUMIFS(Assumptions!$L$41:$L$364,Assumptions!$C$41:$C$364,$D$4,Assumptions!$I$41:$I$364,"FY2030",Assumptions!$J$41:$J$364,"Q3")</f>
        <v>495.211093970379</v>
      </c>
      <c r="V10" s="16" t="n">
        <f aca="false">SUMIFS(Assumptions!$L$41:$L$364,Assumptions!$C$41:$C$364,$D$4,Assumptions!$I$41:$I$364,"FY2030",Assumptions!$J$41:$J$364,"Q4")</f>
        <v>489.784772311461</v>
      </c>
      <c r="W10" s="16" t="n">
        <f aca="false">SUMIFS(Assumptions!$L$41:$L$364,Assumptions!$C$41:$C$364,$D$4,Assumptions!$I$41:$I$364,"FY2031",Assumptions!$J$41:$J$364,"Q1")</f>
        <v>399.983997150288</v>
      </c>
    </row>
    <row r="11" customFormat="false" ht="15" hidden="false" customHeight="false" outlineLevel="0" collapsed="false">
      <c r="C11" s="3" t="s">
        <v>912</v>
      </c>
      <c r="D11" s="30" t="n">
        <f aca="false">AVERAGEIFS(Assumptions!$M$41:$M$364,Assumptions!$C$41:$C$364,$D$4,Assumptions!$I$41:$I$364,"FY2026",Assumptions!$J$41:$J$364,"Q2")/100</f>
        <v>0.288693217195837</v>
      </c>
      <c r="E11" s="30" t="n">
        <f aca="false">AVERAGEIFS(Assumptions!$M$41:$M$364,Assumptions!$C$41:$C$364,$D$4,Assumptions!$I$41:$I$364,"FY2026",Assumptions!$J$41:$J$364,"Q3")/100</f>
        <v>0.276901735836919</v>
      </c>
      <c r="F11" s="30" t="n">
        <f aca="false">AVERAGEIFS(Assumptions!$M$41:$M$364,Assumptions!$C$41:$C$364,$D$4,Assumptions!$I$41:$I$364,"FY2026",Assumptions!$J$41:$J$364,"Q4")/100</f>
        <v>0.279159174302794</v>
      </c>
      <c r="G11" s="30" t="n">
        <f aca="false">AVERAGEIFS(Assumptions!$M$41:$M$364,Assumptions!$C$41:$C$364,$D$4,Assumptions!$I$41:$I$364,"FY2027",Assumptions!$J$41:$J$364,"Q1")/100</f>
        <v>0.229096754759419</v>
      </c>
      <c r="H11" s="30" t="n">
        <f aca="false">AVERAGEIFS(Assumptions!$M$41:$M$364,Assumptions!$C$41:$C$364,$D$4,Assumptions!$I$41:$I$364,"FY2027",Assumptions!$J$41:$J$364,"Q2")/100</f>
        <v>0.288693217195837</v>
      </c>
      <c r="I11" s="30" t="n">
        <f aca="false">AVERAGEIFS(Assumptions!$M$41:$M$364,Assumptions!$C$41:$C$364,$D$4,Assumptions!$I$41:$I$364,"FY2027",Assumptions!$J$41:$J$364,"Q3")/100</f>
        <v>0.276901735836919</v>
      </c>
      <c r="J11" s="30" t="n">
        <f aca="false">AVERAGEIFS(Assumptions!$M$41:$M$364,Assumptions!$C$41:$C$364,$D$4,Assumptions!$I$41:$I$364,"FY2027",Assumptions!$J$41:$J$364,"Q4")/100</f>
        <v>0.279159174302794</v>
      </c>
      <c r="K11" s="30" t="n">
        <f aca="false">AVERAGEIFS(Assumptions!$M$41:$M$364,Assumptions!$C$41:$C$364,$D$4,Assumptions!$I$41:$I$364,"FY2028",Assumptions!$J$41:$J$364,"Q1")/100</f>
        <v>0.229096754759419</v>
      </c>
      <c r="L11" s="30" t="n">
        <f aca="false">AVERAGEIFS(Assumptions!$M$41:$M$364,Assumptions!$C$41:$C$364,$D$4,Assumptions!$I$41:$I$364,"FY2028",Assumptions!$J$41:$J$364,"Q2")/100</f>
        <v>0.288693217195837</v>
      </c>
      <c r="M11" s="30" t="n">
        <f aca="false">AVERAGEIFS(Assumptions!$M$41:$M$364,Assumptions!$C$41:$C$364,$D$4,Assumptions!$I$41:$I$364,"FY2028",Assumptions!$J$41:$J$364,"Q3")/100</f>
        <v>0.276901735836919</v>
      </c>
      <c r="N11" s="30" t="n">
        <f aca="false">AVERAGEIFS(Assumptions!$M$41:$M$364,Assumptions!$C$41:$C$364,$D$4,Assumptions!$I$41:$I$364,"FY2028",Assumptions!$J$41:$J$364,"Q4")/100</f>
        <v>0.279159174302794</v>
      </c>
      <c r="O11" s="30" t="n">
        <f aca="false">AVERAGEIFS(Assumptions!$M$41:$M$364,Assumptions!$C$41:$C$364,$D$4,Assumptions!$I$41:$I$364,"FY2029",Assumptions!$J$41:$J$364,"Q1")/100</f>
        <v>0.229096754759419</v>
      </c>
      <c r="P11" s="30" t="n">
        <f aca="false">AVERAGEIFS(Assumptions!$M$41:$M$364,Assumptions!$C$41:$C$364,$D$4,Assumptions!$I$41:$I$364,"FY2029",Assumptions!$J$41:$J$364,"Q2")/100</f>
        <v>0.288693217195837</v>
      </c>
      <c r="Q11" s="30" t="n">
        <f aca="false">AVERAGEIFS(Assumptions!$M$41:$M$364,Assumptions!$C$41:$C$364,$D$4,Assumptions!$I$41:$I$364,"FY2029",Assumptions!$J$41:$J$364,"Q3")/100</f>
        <v>0.276901735836919</v>
      </c>
      <c r="R11" s="30" t="n">
        <f aca="false">AVERAGEIFS(Assumptions!$M$41:$M$364,Assumptions!$C$41:$C$364,$D$4,Assumptions!$I$41:$I$364,"FY2029",Assumptions!$J$41:$J$364,"Q4")/100</f>
        <v>0.279159174302794</v>
      </c>
      <c r="S11" s="30" t="n">
        <f aca="false">AVERAGEIFS(Assumptions!$M$41:$M$364,Assumptions!$C$41:$C$364,$D$4,Assumptions!$I$41:$I$364,"FY2030",Assumptions!$J$41:$J$364,"Q1")/100</f>
        <v>0.229096754759419</v>
      </c>
      <c r="T11" s="30" t="n">
        <f aca="false">AVERAGEIFS(Assumptions!$M$41:$M$364,Assumptions!$C$41:$C$364,$D$4,Assumptions!$I$41:$I$364,"FY2030",Assumptions!$J$41:$J$364,"Q2")/100</f>
        <v>0.288693217195837</v>
      </c>
      <c r="U11" s="30" t="n">
        <f aca="false">AVERAGEIFS(Assumptions!$M$41:$M$364,Assumptions!$C$41:$C$364,$D$4,Assumptions!$I$41:$I$364,"FY2030",Assumptions!$J$41:$J$364,"Q3")/100</f>
        <v>0.276901735836919</v>
      </c>
      <c r="V11" s="30" t="n">
        <f aca="false">AVERAGEIFS(Assumptions!$M$41:$M$364,Assumptions!$C$41:$C$364,$D$4,Assumptions!$I$41:$I$364,"FY2030",Assumptions!$J$41:$J$364,"Q4")/100</f>
        <v>0.279159174302794</v>
      </c>
      <c r="W11" s="30" t="n">
        <f aca="false">AVERAGEIFS(Assumptions!$M$41:$M$364,Assumptions!$C$41:$C$364,$D$4,Assumptions!$I$41:$I$364,"FY2031",Assumptions!$J$41:$J$364,"Q1")/100</f>
        <v>0.229096754759419</v>
      </c>
    </row>
    <row r="12" customFormat="false" ht="15" hidden="false" customHeight="false" outlineLevel="0" collapsed="false">
      <c r="C12" s="3" t="s">
        <v>699</v>
      </c>
      <c r="D12" s="16" t="n">
        <f aca="false">D10*D11</f>
        <v>130.6240638471</v>
      </c>
      <c r="E12" s="16" t="n">
        <f aca="false">E10*E11</f>
        <v>137.138524864323</v>
      </c>
      <c r="F12" s="16" t="n">
        <f aca="false">F10*F11</f>
        <v>136.741586270404</v>
      </c>
      <c r="G12" s="16" t="n">
        <f aca="false">G10*G11</f>
        <v>91.6441997791498</v>
      </c>
      <c r="H12" s="16" t="n">
        <f aca="false">H10*H11</f>
        <v>130.620798245503</v>
      </c>
      <c r="I12" s="16" t="n">
        <f aca="false">I10*I11</f>
        <v>137.135096401202</v>
      </c>
      <c r="J12" s="16" t="n">
        <f aca="false">J10*J11</f>
        <v>136.738167730747</v>
      </c>
      <c r="K12" s="16" t="n">
        <f aca="false">K10*K11</f>
        <v>91.6419086741547</v>
      </c>
      <c r="L12" s="16" t="n">
        <f aca="false">L10*L11</f>
        <v>130.617532725547</v>
      </c>
      <c r="M12" s="16" t="n">
        <f aca="false">M10*M11</f>
        <v>137.131668023791</v>
      </c>
      <c r="N12" s="16" t="n">
        <f aca="false">N10*N11</f>
        <v>136.734749276554</v>
      </c>
      <c r="O12" s="16" t="n">
        <f aca="false">O10*O11</f>
        <v>91.6396176264381</v>
      </c>
      <c r="P12" s="16" t="n">
        <f aca="false">P10*P11</f>
        <v>130.614267287229</v>
      </c>
      <c r="Q12" s="16" t="n">
        <f aca="false">Q10*Q11</f>
        <v>137.128239732091</v>
      </c>
      <c r="R12" s="16" t="n">
        <f aca="false">R10*R11</f>
        <v>136.731330907822</v>
      </c>
      <c r="S12" s="16" t="n">
        <f aca="false">S10*S11</f>
        <v>91.6373266359976</v>
      </c>
      <c r="T12" s="16" t="n">
        <f aca="false">T10*T11</f>
        <v>130.611001930547</v>
      </c>
      <c r="U12" s="16" t="n">
        <f aca="false">U10*U11</f>
        <v>137.124811526098</v>
      </c>
      <c r="V12" s="16" t="n">
        <f aca="false">V10*V11</f>
        <v>136.727912624549</v>
      </c>
      <c r="W12" s="16" t="n">
        <f aca="false">W10*W11</f>
        <v>91.6350357028317</v>
      </c>
    </row>
    <row r="13" customFormat="false" ht="15" hidden="false" customHeight="false" outlineLevel="0" collapsed="false">
      <c r="C13" s="3" t="s">
        <v>913</v>
      </c>
      <c r="D13" s="16" t="n">
        <f aca="false">D12-D14</f>
        <v>67.4360876536599</v>
      </c>
      <c r="E13" s="16" t="n">
        <f aca="false">E12-E14</f>
        <v>73.8141377934202</v>
      </c>
      <c r="F13" s="16" t="n">
        <f aca="false">F12-F14</f>
        <v>73.0053125075579</v>
      </c>
      <c r="G13" s="16" t="n">
        <f aca="false">G12-G14</f>
        <v>59.6199766933744</v>
      </c>
      <c r="H13" s="16" t="n">
        <f aca="false">H12-H14</f>
        <v>67.4344017514684</v>
      </c>
      <c r="I13" s="16" t="n">
        <f aca="false">I12-I14</f>
        <v>73.8122924399755</v>
      </c>
      <c r="J13" s="16" t="n">
        <f aca="false">J12-J14</f>
        <v>73.003487374745</v>
      </c>
      <c r="K13" s="16" t="n">
        <f aca="false">K12-K14</f>
        <v>59.6184861939564</v>
      </c>
      <c r="L13" s="16" t="n">
        <f aca="false">L12-L14</f>
        <v>67.4327158914247</v>
      </c>
      <c r="M13" s="16" t="n">
        <f aca="false">M12-M14</f>
        <v>73.8104471326642</v>
      </c>
      <c r="N13" s="16" t="n">
        <f aca="false">N12-N14</f>
        <v>73.001662287561</v>
      </c>
      <c r="O13" s="16" t="n">
        <f aca="false">O12-O14</f>
        <v>59.6169957318019</v>
      </c>
      <c r="P13" s="16" t="n">
        <f aca="false">P12-P14</f>
        <v>67.4310300735274</v>
      </c>
      <c r="Q13" s="16" t="n">
        <f aca="false">Q12-Q14</f>
        <v>73.808601871486</v>
      </c>
      <c r="R13" s="16" t="n">
        <f aca="false">R12-R14</f>
        <v>72.9998372460036</v>
      </c>
      <c r="S13" s="16" t="n">
        <f aca="false">S12-S14</f>
        <v>59.6155053069088</v>
      </c>
      <c r="T13" s="16" t="n">
        <f aca="false">T12-T14</f>
        <v>67.4293442977757</v>
      </c>
      <c r="U13" s="16" t="n">
        <f aca="false">U12-U14</f>
        <v>73.8067566564392</v>
      </c>
      <c r="V13" s="16" t="n">
        <f aca="false">V12-V14</f>
        <v>72.9980122500725</v>
      </c>
      <c r="W13" s="16" t="n">
        <f aca="false">W12-W14</f>
        <v>59.6140149192761</v>
      </c>
    </row>
    <row r="14" customFormat="false" ht="15" hidden="false" customHeight="false" outlineLevel="0" collapsed="false">
      <c r="C14" s="47" t="s">
        <v>761</v>
      </c>
      <c r="D14" s="48" t="n">
        <f aca="false">SUMIFS(Assumptions!$N$41:$N$364,Assumptions!$C$41:$C$364,$D$4,Assumptions!$I$41:$I$364,"FY2026",Assumptions!$J$41:$J$364,"Q2")*(1+Assumptions!$D$21)</f>
        <v>63.1879761934398</v>
      </c>
      <c r="E14" s="48" t="n">
        <f aca="false">SUMIFS(Assumptions!$N$41:$N$364,Assumptions!$C$41:$C$364,$D$4,Assumptions!$I$41:$I$364,"FY2026",Assumptions!$J$41:$J$364,"Q3")*(1+Assumptions!$D$21)</f>
        <v>63.3243870709029</v>
      </c>
      <c r="F14" s="48" t="n">
        <f aca="false">SUMIFS(Assumptions!$N$41:$N$364,Assumptions!$C$41:$C$364,$D$4,Assumptions!$I$41:$I$364,"FY2026",Assumptions!$J$41:$J$364,"Q4")*(1+Assumptions!$D$21)</f>
        <v>63.7362737628462</v>
      </c>
      <c r="G14" s="48" t="n">
        <f aca="false">SUMIFS(Assumptions!$N$41:$N$364,Assumptions!$C$41:$C$364,$D$4,Assumptions!$I$41:$I$364,"FY2027",Assumptions!$J$41:$J$364,"Q1")*(1+Assumptions!$D$21)</f>
        <v>32.0242230857754</v>
      </c>
      <c r="H14" s="48" t="n">
        <f aca="false">SUMIFS(Assumptions!$N$41:$N$364,Assumptions!$C$41:$C$364,$D$4,Assumptions!$I$41:$I$364,"FY2027",Assumptions!$J$41:$J$364,"Q2")*(1+Assumptions!$D$21)</f>
        <v>63.1863964940349</v>
      </c>
      <c r="I14" s="48" t="n">
        <f aca="false">SUMIFS(Assumptions!$N$41:$N$364,Assumptions!$C$41:$C$364,$D$4,Assumptions!$I$41:$I$364,"FY2027",Assumptions!$J$41:$J$364,"Q3")*(1+Assumptions!$D$21)</f>
        <v>63.3228039612261</v>
      </c>
      <c r="J14" s="48" t="n">
        <f aca="false">SUMIFS(Assumptions!$N$41:$N$364,Assumptions!$C$41:$C$364,$D$4,Assumptions!$I$41:$I$364,"FY2027",Assumptions!$J$41:$J$364,"Q4")*(1+Assumptions!$D$21)</f>
        <v>63.7346803560021</v>
      </c>
      <c r="K14" s="48" t="n">
        <f aca="false">SUMIFS(Assumptions!$N$41:$N$364,Assumptions!$C$41:$C$364,$D$4,Assumptions!$I$41:$I$364,"FY2028",Assumptions!$J$41:$J$364,"Q1")*(1+Assumptions!$D$21)</f>
        <v>32.0234224801983</v>
      </c>
      <c r="L14" s="48" t="n">
        <f aca="false">SUMIFS(Assumptions!$N$41:$N$364,Assumptions!$C$41:$C$364,$D$4,Assumptions!$I$41:$I$364,"FY2028",Assumptions!$J$41:$J$364,"Q2")*(1+Assumptions!$D$21)</f>
        <v>63.1848168341226</v>
      </c>
      <c r="M14" s="48" t="n">
        <f aca="false">SUMIFS(Assumptions!$N$41:$N$364,Assumptions!$C$41:$C$364,$D$4,Assumptions!$I$41:$I$364,"FY2028",Assumptions!$J$41:$J$364,"Q3")*(1+Assumptions!$D$21)</f>
        <v>63.3212208911272</v>
      </c>
      <c r="N14" s="48" t="n">
        <f aca="false">SUMIFS(Assumptions!$N$41:$N$364,Assumptions!$C$41:$C$364,$D$4,Assumptions!$I$41:$I$364,"FY2028",Assumptions!$J$41:$J$364,"Q4")*(1+Assumptions!$D$21)</f>
        <v>63.7330869889932</v>
      </c>
      <c r="O14" s="48" t="n">
        <f aca="false">SUMIFS(Assumptions!$N$41:$N$364,Assumptions!$C$41:$C$364,$D$4,Assumptions!$I$41:$I$364,"FY2029",Assumptions!$J$41:$J$364,"Q1")*(1+Assumptions!$D$21)</f>
        <v>32.0226218946362</v>
      </c>
      <c r="P14" s="48" t="n">
        <f aca="false">SUMIFS(Assumptions!$N$41:$N$364,Assumptions!$C$41:$C$364,$D$4,Assumptions!$I$41:$I$364,"FY2029",Assumptions!$J$41:$J$364,"Q2")*(1+Assumptions!$D$21)</f>
        <v>63.1832372137017</v>
      </c>
      <c r="Q14" s="48" t="n">
        <f aca="false">SUMIFS(Assumptions!$N$41:$N$364,Assumptions!$C$41:$C$364,$D$4,Assumptions!$I$41:$I$364,"FY2029",Assumptions!$J$41:$J$364,"Q3")*(1+Assumptions!$D$21)</f>
        <v>63.3196378606049</v>
      </c>
      <c r="R14" s="48" t="n">
        <f aca="false">SUMIFS(Assumptions!$N$41:$N$364,Assumptions!$C$41:$C$364,$D$4,Assumptions!$I$41:$I$364,"FY2029",Assumptions!$J$41:$J$364,"Q4")*(1+Assumptions!$D$21)</f>
        <v>63.7314936618185</v>
      </c>
      <c r="S14" s="48" t="n">
        <f aca="false">SUMIFS(Assumptions!$N$41:$N$364,Assumptions!$C$41:$C$364,$D$4,Assumptions!$I$41:$I$364,"FY2030",Assumptions!$J$41:$J$364,"Q1")*(1+Assumptions!$D$21)</f>
        <v>32.0218213290888</v>
      </c>
      <c r="T14" s="48" t="n">
        <f aca="false">SUMIFS(Assumptions!$N$41:$N$364,Assumptions!$C$41:$C$364,$D$4,Assumptions!$I$41:$I$364,"FY2030",Assumptions!$J$41:$J$364,"Q2")*(1+Assumptions!$D$21)</f>
        <v>63.1816576327714</v>
      </c>
      <c r="U14" s="48" t="n">
        <f aca="false">SUMIFS(Assumptions!$N$41:$N$364,Assumptions!$C$41:$C$364,$D$4,Assumptions!$I$41:$I$364,"FY2030",Assumptions!$J$41:$J$364,"Q3")*(1+Assumptions!$D$21)</f>
        <v>63.3180548696584</v>
      </c>
      <c r="V14" s="48" t="n">
        <f aca="false">SUMIFS(Assumptions!$N$41:$N$364,Assumptions!$C$41:$C$364,$D$4,Assumptions!$I$41:$I$364,"FY2030",Assumptions!$J$41:$J$364,"Q4")*(1+Assumptions!$D$21)</f>
        <v>63.7299003744769</v>
      </c>
      <c r="W14" s="48" t="n">
        <f aca="false">SUMIFS(Assumptions!$N$41:$N$364,Assumptions!$C$41:$C$364,$D$4,Assumptions!$I$41:$I$364,"FY2031",Assumptions!$J$41:$J$364,"Q1")*(1+Assumptions!$D$21)</f>
        <v>32.0210207835556</v>
      </c>
    </row>
    <row r="15" customFormat="false" ht="15" hidden="false" customHeight="false" outlineLevel="0" collapsed="false">
      <c r="C15" s="3" t="s">
        <v>661</v>
      </c>
      <c r="D15" s="30" t="n">
        <f aca="false">IF(D10=0,"",D14/D10)</f>
        <v>0.139652217195837</v>
      </c>
      <c r="E15" s="30" t="n">
        <f aca="false">IF(E10=0,"",E14/E10)</f>
        <v>0.127860735836919</v>
      </c>
      <c r="F15" s="30" t="n">
        <f aca="false">IF(F10=0,"",F14/F10)</f>
        <v>0.130118174302794</v>
      </c>
      <c r="G15" s="30" t="n">
        <f aca="false">IF(G10=0,"",G14/G10)</f>
        <v>0.0800557547594189</v>
      </c>
      <c r="H15" s="30" t="n">
        <f aca="false">IF(H10=0,"",H14/H10)</f>
        <v>0.139652217195837</v>
      </c>
      <c r="I15" s="30" t="n">
        <f aca="false">IF(I10=0,"",I14/I10)</f>
        <v>0.127860735836919</v>
      </c>
      <c r="J15" s="30" t="n">
        <f aca="false">IF(J10=0,"",J14/J10)</f>
        <v>0.130118174302794</v>
      </c>
      <c r="K15" s="30" t="n">
        <f aca="false">IF(K10=0,"",K14/K10)</f>
        <v>0.0800557547594196</v>
      </c>
      <c r="L15" s="30" t="n">
        <f aca="false">IF(L10=0,"",L14/L10)</f>
        <v>0.139652217195837</v>
      </c>
      <c r="M15" s="30" t="n">
        <f aca="false">IF(M10=0,"",M14/M10)</f>
        <v>0.127860735836919</v>
      </c>
      <c r="N15" s="30" t="n">
        <f aca="false">IF(N10=0,"",N14/N10)</f>
        <v>0.130118174302794</v>
      </c>
      <c r="O15" s="30" t="n">
        <f aca="false">IF(O10=0,"",O14/O10)</f>
        <v>0.0800557547594191</v>
      </c>
      <c r="P15" s="30" t="n">
        <f aca="false">IF(P10=0,"",P14/P10)</f>
        <v>0.139652217195837</v>
      </c>
      <c r="Q15" s="30" t="n">
        <f aca="false">IF(Q10=0,"",Q14/Q10)</f>
        <v>0.127860735836919</v>
      </c>
      <c r="R15" s="30" t="n">
        <f aca="false">IF(R10=0,"",R14/R10)</f>
        <v>0.130118174302794</v>
      </c>
      <c r="S15" s="30" t="n">
        <f aca="false">IF(S10=0,"",S14/S10)</f>
        <v>0.0800557547594189</v>
      </c>
      <c r="T15" s="30" t="n">
        <f aca="false">IF(T10=0,"",T14/T10)</f>
        <v>0.139652217195837</v>
      </c>
      <c r="U15" s="30" t="n">
        <f aca="false">IF(U10=0,"",U14/U10)</f>
        <v>0.127860735836919</v>
      </c>
      <c r="V15" s="30" t="n">
        <f aca="false">IF(V10=0,"",V14/V10)</f>
        <v>0.130118174302794</v>
      </c>
      <c r="W15" s="30" t="n">
        <f aca="false">IF(W10=0,"",W14/W10)</f>
        <v>0.080055754759419</v>
      </c>
    </row>
    <row r="16" customFormat="false" ht="15" hidden="false" customHeight="false" outlineLevel="0" collapsed="false">
      <c r="C16" s="3" t="s">
        <v>914</v>
      </c>
      <c r="D16" s="16" t="n">
        <f aca="false">SUMIFS(Assumptions!$O$41:$O$364,Assumptions!$C$41:$C$364,$D$4,Assumptions!$I$41:$I$364,"FY2026",Assumptions!$J$41:$J$364,"Q2")</f>
        <v>-25.4702548037106</v>
      </c>
      <c r="E16" s="16" t="n">
        <f aca="false">SUMIFS(Assumptions!$O$41:$O$364,Assumptions!$C$41:$C$364,$D$4,Assumptions!$I$41:$I$364,"FY2026",Assumptions!$J$41:$J$364,"Q3")</f>
        <v>-27.8792107183071</v>
      </c>
      <c r="F16" s="16" t="n">
        <f aca="false">SUMIFS(Assumptions!$O$41:$O$364,Assumptions!$C$41:$C$364,$D$4,Assumptions!$I$41:$I$364,"FY2026",Assumptions!$J$41:$J$364,"Q4")</f>
        <v>-27.5737216717242</v>
      </c>
      <c r="G16" s="16" t="n">
        <f aca="false">SUMIFS(Assumptions!$O$41:$O$364,Assumptions!$C$41:$C$364,$D$4,Assumptions!$I$41:$I$364,"FY2027",Assumptions!$J$41:$J$364,"Q1")</f>
        <v>-22.5181508982322</v>
      </c>
      <c r="H16" s="16" t="n">
        <f aca="false">SUMIFS(Assumptions!$O$41:$O$364,Assumptions!$C$41:$C$364,$D$4,Assumptions!$I$41:$I$364,"FY2027",Assumptions!$J$41:$J$364,"Q2")</f>
        <v>-25.4696180473405</v>
      </c>
      <c r="I16" s="16" t="n">
        <f aca="false">SUMIFS(Assumptions!$O$41:$O$364,Assumptions!$C$41:$C$364,$D$4,Assumptions!$I$41:$I$364,"FY2027",Assumptions!$J$41:$J$364,"Q3")</f>
        <v>-27.8785137380391</v>
      </c>
      <c r="J16" s="16" t="n">
        <f aca="false">SUMIFS(Assumptions!$O$41:$O$364,Assumptions!$C$41:$C$364,$D$4,Assumptions!$I$41:$I$364,"FY2027",Assumptions!$J$41:$J$364,"Q4")</f>
        <v>-27.5730323286824</v>
      </c>
      <c r="K16" s="16" t="n">
        <f aca="false">SUMIFS(Assumptions!$O$41:$O$364,Assumptions!$C$41:$C$364,$D$4,Assumptions!$I$41:$I$364,"FY2028",Assumptions!$J$41:$J$364,"Q1")</f>
        <v>-22.5175879444597</v>
      </c>
      <c r="L16" s="16" t="n">
        <f aca="false">SUMIFS(Assumptions!$O$41:$O$364,Assumptions!$C$41:$C$364,$D$4,Assumptions!$I$41:$I$364,"FY2028",Assumptions!$J$41:$J$364,"Q2")</f>
        <v>-25.4689813068893</v>
      </c>
      <c r="M16" s="16" t="n">
        <f aca="false">SUMIFS(Assumptions!$O$41:$O$364,Assumptions!$C$41:$C$364,$D$4,Assumptions!$I$41:$I$364,"FY2028",Assumptions!$J$41:$J$364,"Q3")</f>
        <v>-27.8778167751957</v>
      </c>
      <c r="N16" s="16" t="n">
        <f aca="false">SUMIFS(Assumptions!$O$41:$O$364,Assumptions!$C$41:$C$364,$D$4,Assumptions!$I$41:$I$364,"FY2028",Assumptions!$J$41:$J$364,"Q4")</f>
        <v>-27.5723430028742</v>
      </c>
      <c r="O16" s="16" t="n">
        <f aca="false">SUMIFS(Assumptions!$O$41:$O$364,Assumptions!$C$41:$C$364,$D$4,Assumptions!$I$41:$I$364,"FY2029",Assumptions!$J$41:$J$364,"Q1")</f>
        <v>-22.5170250047611</v>
      </c>
      <c r="P16" s="16" t="n">
        <f aca="false">SUMIFS(Assumptions!$O$41:$O$364,Assumptions!$C$41:$C$364,$D$4,Assumptions!$I$41:$I$364,"FY2029",Assumptions!$J$41:$J$364,"Q2")</f>
        <v>-25.4683445823567</v>
      </c>
      <c r="Q16" s="16" t="n">
        <f aca="false">SUMIFS(Assumptions!$O$41:$O$364,Assumptions!$C$41:$C$364,$D$4,Assumptions!$I$41:$I$364,"FY2029",Assumptions!$J$41:$J$364,"Q3")</f>
        <v>-27.8771198297763</v>
      </c>
      <c r="R16" s="16" t="n">
        <f aca="false">SUMIFS(Assumptions!$O$41:$O$364,Assumptions!$C$41:$C$364,$D$4,Assumptions!$I$41:$I$364,"FY2029",Assumptions!$J$41:$J$364,"Q4")</f>
        <v>-27.5716536942991</v>
      </c>
      <c r="S16" s="16" t="n">
        <f aca="false">SUMIFS(Assumptions!$O$41:$O$364,Assumptions!$C$41:$C$364,$D$4,Assumptions!$I$41:$I$364,"FY2030",Assumptions!$J$41:$J$364,"Q1")</f>
        <v>-22.516462079136</v>
      </c>
      <c r="T16" s="16" t="n">
        <f aca="false">SUMIFS(Assumptions!$O$41:$O$364,Assumptions!$C$41:$C$364,$D$4,Assumptions!$I$41:$I$364,"FY2030",Assumptions!$J$41:$J$364,"Q2")</f>
        <v>-25.4677078737421</v>
      </c>
      <c r="U16" s="16" t="n">
        <f aca="false">SUMIFS(Assumptions!$O$41:$O$364,Assumptions!$C$41:$C$364,$D$4,Assumptions!$I$41:$I$364,"FY2030",Assumptions!$J$41:$J$364,"Q3")</f>
        <v>-27.8764229017806</v>
      </c>
      <c r="V16" s="16" t="n">
        <f aca="false">SUMIFS(Assumptions!$O$41:$O$364,Assumptions!$C$41:$C$364,$D$4,Assumptions!$I$41:$I$364,"FY2030",Assumptions!$J$41:$J$364,"Q4")</f>
        <v>-27.5709644029568</v>
      </c>
      <c r="W16" s="16" t="n">
        <f aca="false">SUMIFS(Assumptions!$O$41:$O$364,Assumptions!$C$41:$C$364,$D$4,Assumptions!$I$41:$I$364,"FY2031",Assumptions!$J$41:$J$364,"Q1")</f>
        <v>-22.515899167584</v>
      </c>
    </row>
    <row r="17" customFormat="false" ht="15" hidden="false" customHeight="false" outlineLevel="0" collapsed="false">
      <c r="C17" s="3" t="s">
        <v>915</v>
      </c>
      <c r="D17" s="16" t="n">
        <f aca="false">D14+D16</f>
        <v>37.7177213897292</v>
      </c>
      <c r="E17" s="16" t="n">
        <f aca="false">E14+E16</f>
        <v>35.4451763525958</v>
      </c>
      <c r="F17" s="16" t="n">
        <f aca="false">F14+F16</f>
        <v>36.162552091122</v>
      </c>
      <c r="G17" s="16" t="n">
        <f aca="false">G14+G16</f>
        <v>9.50607218754324</v>
      </c>
      <c r="H17" s="16" t="n">
        <f aca="false">H14+H16</f>
        <v>37.7167784466944</v>
      </c>
      <c r="I17" s="16" t="n">
        <f aca="false">I14+I16</f>
        <v>35.444290223187</v>
      </c>
      <c r="J17" s="16" t="n">
        <f aca="false">J14+J16</f>
        <v>36.1616480273197</v>
      </c>
      <c r="K17" s="16" t="n">
        <f aca="false">K14+K16</f>
        <v>9.50583453573861</v>
      </c>
      <c r="L17" s="16" t="n">
        <f aca="false">L14+L16</f>
        <v>37.7158355272333</v>
      </c>
      <c r="M17" s="16" t="n">
        <f aca="false">M14+M16</f>
        <v>35.4434041159315</v>
      </c>
      <c r="N17" s="16" t="n">
        <f aca="false">N14+N16</f>
        <v>36.160743986119</v>
      </c>
      <c r="O17" s="16" t="n">
        <f aca="false">O14+O16</f>
        <v>9.5055968898751</v>
      </c>
      <c r="P17" s="16" t="n">
        <f aca="false">P14+P16</f>
        <v>37.714892631345</v>
      </c>
      <c r="Q17" s="16" t="n">
        <f aca="false">Q14+Q16</f>
        <v>35.4425180308286</v>
      </c>
      <c r="R17" s="16" t="n">
        <f aca="false">R14+R16</f>
        <v>36.1598399675194</v>
      </c>
      <c r="S17" s="16" t="n">
        <f aca="false">S14+S16</f>
        <v>9.5053592499528</v>
      </c>
      <c r="T17" s="16" t="n">
        <f aca="false">T14+T16</f>
        <v>37.7139497590293</v>
      </c>
      <c r="U17" s="16" t="n">
        <f aca="false">U14+U16</f>
        <v>35.4416319678778</v>
      </c>
      <c r="V17" s="16" t="n">
        <f aca="false">V14+V16</f>
        <v>36.1589359715201</v>
      </c>
      <c r="W17" s="16" t="n">
        <f aca="false">W14+W16</f>
        <v>9.5051216159716</v>
      </c>
    </row>
    <row r="18" customFormat="false" ht="15" hidden="false" customHeight="false" outlineLevel="0" collapsed="false">
      <c r="C18" s="3" t="s">
        <v>916</v>
      </c>
      <c r="D18" s="16" t="n">
        <f aca="false">SUMIFS(Assumptions!$P$41:$P$364,Assumptions!$C$41:$C$364,$D$4,Assumptions!$I$41:$I$364,"FY2026",Assumptions!$J$41:$J$364,"Q2")</f>
        <v>-9.4294303474323</v>
      </c>
      <c r="E18" s="16" t="n">
        <f aca="false">SUMIFS(Assumptions!$P$41:$P$364,Assumptions!$C$41:$C$364,$D$4,Assumptions!$I$41:$I$364,"FY2026",Assumptions!$J$41:$J$364,"Q3")</f>
        <v>-8.86129408814898</v>
      </c>
      <c r="F18" s="16" t="n">
        <f aca="false">SUMIFS(Assumptions!$P$41:$P$364,Assumptions!$C$41:$C$364,$D$4,Assumptions!$I$41:$I$364,"FY2026",Assumptions!$J$41:$J$364,"Q4")</f>
        <v>-9.0406380227805</v>
      </c>
      <c r="G18" s="16" t="n">
        <f aca="false">SUMIFS(Assumptions!$P$41:$P$364,Assumptions!$C$41:$C$364,$D$4,Assumptions!$I$41:$I$364,"FY2027",Assumptions!$J$41:$J$364,"Q1")</f>
        <v>-2.3765180468858</v>
      </c>
      <c r="H18" s="16" t="n">
        <f aca="false">SUMIFS(Assumptions!$P$41:$P$364,Assumptions!$C$41:$C$364,$D$4,Assumptions!$I$41:$I$364,"FY2027",Assumptions!$J$41:$J$364,"Q2")</f>
        <v>-9.42919461167361</v>
      </c>
      <c r="I18" s="16" t="n">
        <f aca="false">SUMIFS(Assumptions!$P$41:$P$364,Assumptions!$C$41:$C$364,$D$4,Assumptions!$I$41:$I$364,"FY2027",Assumptions!$J$41:$J$364,"Q3")</f>
        <v>-8.86107255579678</v>
      </c>
      <c r="J18" s="16" t="n">
        <f aca="false">SUMIFS(Assumptions!$P$41:$P$364,Assumptions!$C$41:$C$364,$D$4,Assumptions!$I$41:$I$364,"FY2027",Assumptions!$J$41:$J$364,"Q4")</f>
        <v>-9.04041200682993</v>
      </c>
      <c r="K18" s="16" t="n">
        <f aca="false">SUMIFS(Assumptions!$P$41:$P$364,Assumptions!$C$41:$C$364,$D$4,Assumptions!$I$41:$I$364,"FY2028",Assumptions!$J$41:$J$364,"Q1")</f>
        <v>-2.37645863393462</v>
      </c>
      <c r="L18" s="16" t="n">
        <f aca="false">SUMIFS(Assumptions!$P$41:$P$364,Assumptions!$C$41:$C$364,$D$4,Assumptions!$I$41:$I$364,"FY2028",Assumptions!$J$41:$J$364,"Q2")</f>
        <v>-9.42895888180832</v>
      </c>
      <c r="M18" s="16" t="n">
        <f aca="false">SUMIFS(Assumptions!$P$41:$P$364,Assumptions!$C$41:$C$364,$D$4,Assumptions!$I$41:$I$364,"FY2028",Assumptions!$J$41:$J$364,"Q3")</f>
        <v>-8.86085102898288</v>
      </c>
      <c r="N18" s="16" t="n">
        <f aca="false">SUMIFS(Assumptions!$P$41:$P$364,Assumptions!$C$41:$C$364,$D$4,Assumptions!$I$41:$I$364,"FY2028",Assumptions!$J$41:$J$364,"Q4")</f>
        <v>-9.04018599652975</v>
      </c>
      <c r="O18" s="16" t="n">
        <f aca="false">SUMIFS(Assumptions!$P$41:$P$364,Assumptions!$C$41:$C$364,$D$4,Assumptions!$I$41:$I$364,"FY2029",Assumptions!$J$41:$J$364,"Q1")</f>
        <v>-2.37639922246877</v>
      </c>
      <c r="P18" s="16" t="n">
        <f aca="false">SUMIFS(Assumptions!$P$41:$P$364,Assumptions!$C$41:$C$364,$D$4,Assumptions!$I$41:$I$364,"FY2029",Assumptions!$J$41:$J$364,"Q2")</f>
        <v>-9.42872315783627</v>
      </c>
      <c r="Q18" s="16" t="n">
        <f aca="false">SUMIFS(Assumptions!$P$41:$P$364,Assumptions!$C$41:$C$364,$D$4,Assumptions!$I$41:$I$364,"FY2029",Assumptions!$J$41:$J$364,"Q3")</f>
        <v>-8.86062950770715</v>
      </c>
      <c r="R18" s="16" t="n">
        <f aca="false">SUMIFS(Assumptions!$P$41:$P$364,Assumptions!$C$41:$C$364,$D$4,Assumptions!$I$41:$I$364,"FY2029",Assumptions!$J$41:$J$364,"Q4")</f>
        <v>-9.03995999187983</v>
      </c>
      <c r="S18" s="16" t="n">
        <f aca="false">SUMIFS(Assumptions!$P$41:$P$364,Assumptions!$C$41:$C$364,$D$4,Assumptions!$I$41:$I$364,"FY2030",Assumptions!$J$41:$J$364,"Q1")</f>
        <v>-2.37633981248821</v>
      </c>
      <c r="T18" s="16" t="n">
        <f aca="false">SUMIFS(Assumptions!$P$41:$P$364,Assumptions!$C$41:$C$364,$D$4,Assumptions!$I$41:$I$364,"FY2030",Assumptions!$J$41:$J$364,"Q2")</f>
        <v>-9.42848743975732</v>
      </c>
      <c r="U18" s="16" t="n">
        <f aca="false">SUMIFS(Assumptions!$P$41:$P$364,Assumptions!$C$41:$C$364,$D$4,Assumptions!$I$41:$I$364,"FY2030",Assumptions!$J$41:$J$364,"Q3")</f>
        <v>-8.86040799196946</v>
      </c>
      <c r="V18" s="16" t="n">
        <f aca="false">SUMIFS(Assumptions!$P$41:$P$364,Assumptions!$C$41:$C$364,$D$4,Assumptions!$I$41:$I$364,"FY2030",Assumptions!$J$41:$J$364,"Q4")</f>
        <v>-9.03973399288004</v>
      </c>
      <c r="W18" s="16" t="n">
        <f aca="false">SUMIFS(Assumptions!$P$41:$P$364,Assumptions!$C$41:$C$364,$D$4,Assumptions!$I$41:$I$364,"FY2031",Assumptions!$J$41:$J$364,"Q1")</f>
        <v>-2.3762804039929</v>
      </c>
    </row>
    <row r="19" customFormat="false" ht="15" hidden="false" customHeight="false" outlineLevel="0" collapsed="false">
      <c r="C19" s="3" t="s">
        <v>917</v>
      </c>
      <c r="D19" s="16" t="n">
        <f aca="false">SUMIFS(Assumptions!$Q$41:$Q$364,Assumptions!$C$41:$C$364,$D$4,Assumptions!$I$41:$I$364,"FY2026",Assumptions!$J$41:$J$364,"Q2")+IF(D$8=$D$8,-D10/365*Assumptions!$D$23,0)</f>
        <v>-0.0742051466564475</v>
      </c>
      <c r="E19" s="16" t="n">
        <f aca="false">SUMIFS(Assumptions!$Q$41:$Q$364,Assumptions!$C$41:$C$364,$D$4,Assumptions!$I$41:$I$364,"FY2026",Assumptions!$J$41:$J$364,"Q3")+IF(E$8=$D$8,-E10/365*Assumptions!$D$23,0)</f>
        <v>-0.0812087323429722</v>
      </c>
      <c r="F19" s="16" t="n">
        <f aca="false">SUMIFS(Assumptions!$Q$41:$Q$364,Assumptions!$C$41:$C$364,$D$4,Assumptions!$I$41:$I$364,"FY2026",Assumptions!$J$41:$J$364,"Q4")+IF(F$8=$D$8,-F10/365*Assumptions!$D$23,0)</f>
        <v>-0.0803216590817442</v>
      </c>
      <c r="G19" s="16" t="n">
        <f aca="false">SUMIFS(Assumptions!$Q$41:$Q$364,Assumptions!$C$41:$C$364,$D$4,Assumptions!$I$41:$I$364,"FY2027",Assumptions!$J$41:$J$364,"Q1")+IF(G$8=$D$8,-G10/365*Assumptions!$D$23,0)</f>
        <v>0.00152525976751477</v>
      </c>
      <c r="H19" s="16" t="n">
        <f aca="false">SUMIFS(Assumptions!$Q$41:$Q$364,Assumptions!$C$41:$C$364,$D$4,Assumptions!$I$41:$I$364,"FY2027",Assumptions!$J$41:$J$364,"Q2")+IF(H$8=$D$8,-H10/365*Assumptions!$D$23,0)</f>
        <v>0.00165740957908833</v>
      </c>
      <c r="I19" s="16" t="n">
        <f aca="false">SUMIFS(Assumptions!$Q$41:$Q$364,Assumptions!$C$41:$C$364,$D$4,Assumptions!$I$41:$I$364,"FY2027",Assumptions!$J$41:$J$364,"Q3")+IF(I$8=$D$8,-I10/365*Assumptions!$D$23,0)</f>
        <v>0.00182884218755173</v>
      </c>
      <c r="J19" s="16" t="n">
        <f aca="false">SUMIFS(Assumptions!$Q$41:$Q$364,Assumptions!$C$41:$C$364,$D$4,Assumptions!$I$41:$I$364,"FY2027",Assumptions!$J$41:$J$364,"Q4")+IF(J$8=$D$8,-J10/365*Assumptions!$D$23,0)</f>
        <v>0.00180602356578115</v>
      </c>
      <c r="K19" s="16" t="n">
        <f aca="false">SUMIFS(Assumptions!$Q$41:$Q$364,Assumptions!$C$41:$C$364,$D$4,Assumptions!$I$41:$I$364,"FY2028",Assumptions!$J$41:$J$364,"Q1")+IF(K$8=$D$8,-K10/365*Assumptions!$D$23,0)</f>
        <v>0.00152522163602058</v>
      </c>
      <c r="L19" s="16" t="n">
        <f aca="false">SUMIFS(Assumptions!$Q$41:$Q$364,Assumptions!$C$41:$C$364,$D$4,Assumptions!$I$41:$I$364,"FY2028",Assumptions!$J$41:$J$364,"Q2")+IF(L$8=$D$8,-L10/365*Assumptions!$D$23,0)</f>
        <v>0.00165736814384885</v>
      </c>
      <c r="M19" s="16" t="n">
        <f aca="false">SUMIFS(Assumptions!$Q$41:$Q$364,Assumptions!$C$41:$C$364,$D$4,Assumptions!$I$41:$I$364,"FY2028",Assumptions!$J$41:$J$364,"Q3")+IF(M$8=$D$8,-M10/365*Assumptions!$D$23,0)</f>
        <v>0.00182879646649704</v>
      </c>
      <c r="N19" s="16" t="n">
        <f aca="false">SUMIFS(Assumptions!$Q$41:$Q$364,Assumptions!$C$41:$C$364,$D$4,Assumptions!$I$41:$I$364,"FY2028",Assumptions!$J$41:$J$364,"Q4")+IF(N$8=$D$8,-N10/365*Assumptions!$D$23,0)</f>
        <v>0.00180597841519201</v>
      </c>
      <c r="O19" s="16" t="n">
        <f aca="false">SUMIFS(Assumptions!$Q$41:$Q$364,Assumptions!$C$41:$C$364,$D$4,Assumptions!$I$41:$I$364,"FY2029",Assumptions!$J$41:$J$364,"Q1")+IF(O$8=$D$8,-O10/365*Assumptions!$D$23,0)</f>
        <v>0.00152518350547968</v>
      </c>
      <c r="P19" s="16" t="n">
        <f aca="false">SUMIFS(Assumptions!$Q$41:$Q$364,Assumptions!$C$41:$C$364,$D$4,Assumptions!$I$41:$I$364,"FY2029",Assumptions!$J$41:$J$364,"Q2")+IF(P$8=$D$8,-P10/365*Assumptions!$D$23,0)</f>
        <v>0.00165732670964526</v>
      </c>
      <c r="Q19" s="16" t="n">
        <f aca="false">SUMIFS(Assumptions!$Q$41:$Q$364,Assumptions!$C$41:$C$364,$D$4,Assumptions!$I$41:$I$364,"FY2029",Assumptions!$J$41:$J$364,"Q3")+IF(Q$8=$D$8,-Q10/365*Assumptions!$D$23,0)</f>
        <v>0.00182875074658537</v>
      </c>
      <c r="R19" s="16" t="n">
        <f aca="false">SUMIFS(Assumptions!$Q$41:$Q$364,Assumptions!$C$41:$C$364,$D$4,Assumptions!$I$41:$I$364,"FY2029",Assumptions!$J$41:$J$364,"Q4")+IF(R$8=$D$8,-R10/365*Assumptions!$D$23,0)</f>
        <v>0.00180593326573163</v>
      </c>
      <c r="S19" s="16" t="n">
        <f aca="false">SUMIFS(Assumptions!$Q$41:$Q$364,Assumptions!$C$41:$C$364,$D$4,Assumptions!$I$41:$I$364,"FY2030",Assumptions!$J$41:$J$364,"Q1")+IF(S$8=$D$8,-S10/365*Assumptions!$D$23,0)</f>
        <v>0.00152514537589204</v>
      </c>
      <c r="T19" s="16" t="n">
        <f aca="false">SUMIFS(Assumptions!$Q$41:$Q$364,Assumptions!$C$41:$C$364,$D$4,Assumptions!$I$41:$I$364,"FY2030",Assumptions!$J$41:$J$364,"Q2")+IF(T$8=$D$8,-T10/365*Assumptions!$D$23,0)</f>
        <v>0.00165728527647751</v>
      </c>
      <c r="U19" s="16" t="n">
        <f aca="false">SUMIFS(Assumptions!$Q$41:$Q$364,Assumptions!$C$41:$C$364,$D$4,Assumptions!$I$41:$I$364,"FY2030",Assumptions!$J$41:$J$364,"Q3")+IF(U$8=$D$8,-U10/365*Assumptions!$D$23,0)</f>
        <v>0.00182870502781671</v>
      </c>
      <c r="V19" s="16" t="n">
        <f aca="false">SUMIFS(Assumptions!$Q$41:$Q$364,Assumptions!$C$41:$C$364,$D$4,Assumptions!$I$41:$I$364,"FY2030",Assumptions!$J$41:$J$364,"Q4")+IF(V$8=$D$8,-V10/365*Assumptions!$D$23,0)</f>
        <v>0.00180588811739999</v>
      </c>
      <c r="W19" s="16" t="n">
        <f aca="false">SUMIFS(Assumptions!$Q$41:$Q$364,Assumptions!$C$41:$C$364,$D$4,Assumptions!$I$41:$I$364,"FY2031",Assumptions!$J$41:$J$364,"Q1")+IF(W$8=$D$8,-W10/365*Assumptions!$D$23,0)</f>
        <v>0.00152510724725765</v>
      </c>
    </row>
    <row r="20" customFormat="false" ht="15" hidden="false" customHeight="false" outlineLevel="0" collapsed="false">
      <c r="C20" s="3" t="s">
        <v>711</v>
      </c>
      <c r="D20" s="16" t="n">
        <f aca="false">SUMIFS(Assumptions!$R$41:$R$364,Assumptions!$C$41:$C$364,$D$4,Assumptions!$I$41:$I$364,"FY2026",Assumptions!$J$41:$J$364,"Q2")</f>
        <v>-15.83633408175</v>
      </c>
      <c r="E20" s="16" t="n">
        <f aca="false">SUMIFS(Assumptions!$R$41:$R$364,Assumptions!$C$41:$C$364,$D$4,Assumptions!$I$41:$I$364,"FY2026",Assumptions!$J$41:$J$364,"Q3")</f>
        <v>-17.334121636125</v>
      </c>
      <c r="F20" s="16" t="n">
        <f aca="false">SUMIFS(Assumptions!$R$41:$R$364,Assumptions!$C$41:$C$364,$D$4,Assumptions!$I$41:$I$364,"FY2026",Assumptions!$J$41:$J$364,"Q4")</f>
        <v>-17.14418138475</v>
      </c>
      <c r="G20" s="16" t="n">
        <f aca="false">SUMIFS(Assumptions!$R$41:$R$364,Assumptions!$C$41:$C$364,$D$4,Assumptions!$I$41:$I$364,"FY2027",Assumptions!$J$41:$J$364,"Q1")</f>
        <v>-14.000839931751</v>
      </c>
      <c r="H20" s="16" t="n">
        <f aca="false">SUMIFS(Assumptions!$R$41:$R$364,Assumptions!$C$41:$C$364,$D$4,Assumptions!$I$41:$I$364,"FY2027",Assumptions!$J$41:$J$364,"Q2")</f>
        <v>-15.835938173398</v>
      </c>
      <c r="I20" s="16" t="n">
        <f aca="false">SUMIFS(Assumptions!$R$41:$R$364,Assumptions!$C$41:$C$364,$D$4,Assumptions!$I$41:$I$364,"FY2027",Assumptions!$J$41:$J$364,"Q3")</f>
        <v>-17.3336882830841</v>
      </c>
      <c r="J20" s="16" t="n">
        <f aca="false">SUMIFS(Assumptions!$R$41:$R$364,Assumptions!$C$41:$C$364,$D$4,Assumptions!$I$41:$I$364,"FY2027",Assumptions!$J$41:$J$364,"Q4")</f>
        <v>-17.1437527802154</v>
      </c>
      <c r="K20" s="16" t="n">
        <f aca="false">SUMIFS(Assumptions!$R$41:$R$364,Assumptions!$C$41:$C$364,$D$4,Assumptions!$I$41:$I$364,"FY2028",Assumptions!$J$41:$J$364,"Q1")</f>
        <v>-14.0004899107527</v>
      </c>
      <c r="L20" s="16" t="n">
        <f aca="false">SUMIFS(Assumptions!$R$41:$R$364,Assumptions!$C$41:$C$364,$D$4,Assumptions!$I$41:$I$364,"FY2028",Assumptions!$J$41:$J$364,"Q2")</f>
        <v>-15.8355422749436</v>
      </c>
      <c r="M20" s="16" t="n">
        <f aca="false">SUMIFS(Assumptions!$R$41:$R$364,Assumptions!$C$41:$C$364,$D$4,Assumptions!$I$41:$I$364,"FY2028",Assumptions!$J$41:$J$364,"Q3")</f>
        <v>-17.333254940877</v>
      </c>
      <c r="N20" s="16" t="n">
        <f aca="false">SUMIFS(Assumptions!$R$41:$R$364,Assumptions!$C$41:$C$364,$D$4,Assumptions!$I$41:$I$364,"FY2028",Assumptions!$J$41:$J$364,"Q4")</f>
        <v>-17.1433241863959</v>
      </c>
      <c r="O20" s="16" t="n">
        <f aca="false">SUMIFS(Assumptions!$R$41:$R$364,Assumptions!$C$41:$C$364,$D$4,Assumptions!$I$41:$I$364,"FY2029",Assumptions!$J$41:$J$364,"Q1")</f>
        <v>-14.0001398985049</v>
      </c>
      <c r="P20" s="16" t="n">
        <f aca="false">SUMIFS(Assumptions!$R$41:$R$364,Assumptions!$C$41:$C$364,$D$4,Assumptions!$I$41:$I$364,"FY2029",Assumptions!$J$41:$J$364,"Q2")</f>
        <v>-15.8351463863867</v>
      </c>
      <c r="Q20" s="16" t="n">
        <f aca="false">SUMIFS(Assumptions!$R$41:$R$364,Assumptions!$C$41:$C$364,$D$4,Assumptions!$I$41:$I$364,"FY2029",Assumptions!$J$41:$J$364,"Q3")</f>
        <v>-17.3328216095035</v>
      </c>
      <c r="R20" s="16" t="n">
        <f aca="false">SUMIFS(Assumptions!$R$41:$R$364,Assumptions!$C$41:$C$364,$D$4,Assumptions!$I$41:$I$364,"FY2029",Assumptions!$J$41:$J$364,"Q4")</f>
        <v>-17.1428956032912</v>
      </c>
      <c r="S20" s="16" t="n">
        <f aca="false">SUMIFS(Assumptions!$R$41:$R$364,Assumptions!$C$41:$C$364,$D$4,Assumptions!$I$41:$I$364,"FY2030",Assumptions!$J$41:$J$364,"Q1")</f>
        <v>-13.9997898950074</v>
      </c>
      <c r="T20" s="16" t="n">
        <f aca="false">SUMIFS(Assumptions!$R$41:$R$364,Assumptions!$C$41:$C$364,$D$4,Assumptions!$I$41:$I$364,"FY2030",Assumptions!$J$41:$J$364,"Q2")</f>
        <v>-15.8347505077271</v>
      </c>
      <c r="U20" s="16" t="n">
        <f aca="false">SUMIFS(Assumptions!$R$41:$R$364,Assumptions!$C$41:$C$364,$D$4,Assumptions!$I$41:$I$364,"FY2030",Assumptions!$J$41:$J$364,"Q3")</f>
        <v>-17.3323882889633</v>
      </c>
      <c r="V20" s="16" t="n">
        <f aca="false">SUMIFS(Assumptions!$R$41:$R$364,Assumptions!$C$41:$C$364,$D$4,Assumptions!$I$41:$I$364,"FY2030",Assumptions!$J$41:$J$364,"Q4")</f>
        <v>-17.1424670309011</v>
      </c>
      <c r="W20" s="16" t="n">
        <f aca="false">SUMIFS(Assumptions!$R$41:$R$364,Assumptions!$C$41:$C$364,$D$4,Assumptions!$I$41:$I$364,"FY2031",Assumptions!$J$41:$J$364,"Q1")</f>
        <v>-13.9994399002601</v>
      </c>
    </row>
    <row r="21" customFormat="false" ht="15" hidden="false" customHeight="false" outlineLevel="0" collapsed="false">
      <c r="C21" s="3" t="s">
        <v>918</v>
      </c>
      <c r="D21" s="16" t="n">
        <f aca="false">SUMIFS(Assumptions!$S$41:$S$364,Assumptions!$C$41:$C$364,$D$4,Assumptions!$I$41:$I$364,"FY2026",Assumptions!$J$41:$J$364,"Q2")</f>
        <v>-0.699999999999999</v>
      </c>
      <c r="E21" s="16" t="n">
        <f aca="false">SUMIFS(Assumptions!$S$41:$S$364,Assumptions!$C$41:$C$364,$D$4,Assumptions!$I$41:$I$364,"FY2026",Assumptions!$J$41:$J$364,"Q3")</f>
        <v>0</v>
      </c>
      <c r="F21" s="16" t="n">
        <f aca="false">SUMIFS(Assumptions!$S$41:$S$364,Assumptions!$C$41:$C$364,$D$4,Assumptions!$I$41:$I$364,"FY2026",Assumptions!$J$41:$J$364,"Q4")</f>
        <v>0</v>
      </c>
      <c r="G21" s="16" t="n">
        <f aca="false">SUMIFS(Assumptions!$S$41:$S$364,Assumptions!$C$41:$C$364,$D$4,Assumptions!$I$41:$I$364,"FY2027",Assumptions!$J$41:$J$364,"Q1")</f>
        <v>0</v>
      </c>
      <c r="H21" s="16" t="n">
        <f aca="false">SUMIFS(Assumptions!$S$41:$S$364,Assumptions!$C$41:$C$364,$D$4,Assumptions!$I$41:$I$364,"FY2027",Assumptions!$J$41:$J$364,"Q2")</f>
        <v>0</v>
      </c>
      <c r="I21" s="16" t="n">
        <f aca="false">SUMIFS(Assumptions!$S$41:$S$364,Assumptions!$C$41:$C$364,$D$4,Assumptions!$I$41:$I$364,"FY2027",Assumptions!$J$41:$J$364,"Q3")</f>
        <v>0</v>
      </c>
      <c r="J21" s="16" t="n">
        <f aca="false">SUMIFS(Assumptions!$S$41:$S$364,Assumptions!$C$41:$C$364,$D$4,Assumptions!$I$41:$I$364,"FY2027",Assumptions!$J$41:$J$364,"Q4")</f>
        <v>0</v>
      </c>
      <c r="K21" s="16" t="n">
        <f aca="false">SUMIFS(Assumptions!$S$41:$S$364,Assumptions!$C$41:$C$364,$D$4,Assumptions!$I$41:$I$364,"FY2028",Assumptions!$J$41:$J$364,"Q1")</f>
        <v>0</v>
      </c>
      <c r="L21" s="16" t="n">
        <f aca="false">SUMIFS(Assumptions!$S$41:$S$364,Assumptions!$C$41:$C$364,$D$4,Assumptions!$I$41:$I$364,"FY2028",Assumptions!$J$41:$J$364,"Q2")</f>
        <v>0</v>
      </c>
      <c r="M21" s="16" t="n">
        <f aca="false">SUMIFS(Assumptions!$S$41:$S$364,Assumptions!$C$41:$C$364,$D$4,Assumptions!$I$41:$I$364,"FY2028",Assumptions!$J$41:$J$364,"Q3")</f>
        <v>0</v>
      </c>
      <c r="N21" s="16" t="n">
        <f aca="false">SUMIFS(Assumptions!$S$41:$S$364,Assumptions!$C$41:$C$364,$D$4,Assumptions!$I$41:$I$364,"FY2028",Assumptions!$J$41:$J$364,"Q4")</f>
        <v>0</v>
      </c>
      <c r="O21" s="16" t="n">
        <f aca="false">SUMIFS(Assumptions!$S$41:$S$364,Assumptions!$C$41:$C$364,$D$4,Assumptions!$I$41:$I$364,"FY2029",Assumptions!$J$41:$J$364,"Q1")</f>
        <v>0</v>
      </c>
      <c r="P21" s="16" t="n">
        <f aca="false">SUMIFS(Assumptions!$S$41:$S$364,Assumptions!$C$41:$C$364,$D$4,Assumptions!$I$41:$I$364,"FY2029",Assumptions!$J$41:$J$364,"Q2")</f>
        <v>0</v>
      </c>
      <c r="Q21" s="16" t="n">
        <f aca="false">SUMIFS(Assumptions!$S$41:$S$364,Assumptions!$C$41:$C$364,$D$4,Assumptions!$I$41:$I$364,"FY2029",Assumptions!$J$41:$J$364,"Q3")</f>
        <v>0</v>
      </c>
      <c r="R21" s="16" t="n">
        <f aca="false">SUMIFS(Assumptions!$S$41:$S$364,Assumptions!$C$41:$C$364,$D$4,Assumptions!$I$41:$I$364,"FY2029",Assumptions!$J$41:$J$364,"Q4")</f>
        <v>0</v>
      </c>
      <c r="S21" s="16" t="n">
        <f aca="false">SUMIFS(Assumptions!$S$41:$S$364,Assumptions!$C$41:$C$364,$D$4,Assumptions!$I$41:$I$364,"FY2030",Assumptions!$J$41:$J$364,"Q1")</f>
        <v>0</v>
      </c>
      <c r="T21" s="16" t="n">
        <f aca="false">SUMIFS(Assumptions!$S$41:$S$364,Assumptions!$C$41:$C$364,$D$4,Assumptions!$I$41:$I$364,"FY2030",Assumptions!$J$41:$J$364,"Q2")</f>
        <v>0</v>
      </c>
      <c r="U21" s="16" t="n">
        <f aca="false">SUMIFS(Assumptions!$S$41:$S$364,Assumptions!$C$41:$C$364,$D$4,Assumptions!$I$41:$I$364,"FY2030",Assumptions!$J$41:$J$364,"Q3")</f>
        <v>0</v>
      </c>
      <c r="V21" s="16" t="n">
        <f aca="false">SUMIFS(Assumptions!$S$41:$S$364,Assumptions!$C$41:$C$364,$D$4,Assumptions!$I$41:$I$364,"FY2030",Assumptions!$J$41:$J$364,"Q4")</f>
        <v>0</v>
      </c>
      <c r="W21" s="16" t="n">
        <f aca="false">SUMIFS(Assumptions!$S$41:$S$364,Assumptions!$C$41:$C$364,$D$4,Assumptions!$I$41:$I$364,"FY2031",Assumptions!$J$41:$J$364,"Q1")</f>
        <v>0</v>
      </c>
    </row>
    <row r="22" customFormat="false" ht="15" hidden="false" customHeight="false" outlineLevel="0" collapsed="false">
      <c r="C22" s="47" t="s">
        <v>919</v>
      </c>
      <c r="D22" s="48" t="n">
        <f aca="false">SUM(D14,D18:D21)</f>
        <v>37.1480066176011</v>
      </c>
      <c r="E22" s="48" t="n">
        <f aca="false">SUM(E14,E18:E21)</f>
        <v>37.0477626142859</v>
      </c>
      <c r="F22" s="48" t="n">
        <f aca="false">SUM(F14,F18:F21)</f>
        <v>37.471132696234</v>
      </c>
      <c r="G22" s="48" t="n">
        <f aca="false">SUM(G14,G18:G21)</f>
        <v>15.6483903669062</v>
      </c>
      <c r="H22" s="48" t="n">
        <f aca="false">SUM(H14,H18:H21)</f>
        <v>37.9229211185424</v>
      </c>
      <c r="I22" s="48" t="n">
        <f aca="false">SUM(I14,I18:I21)</f>
        <v>37.1298719645328</v>
      </c>
      <c r="J22" s="48" t="n">
        <f aca="false">SUM(J14,J18:J21)</f>
        <v>37.5523215925226</v>
      </c>
      <c r="K22" s="48" t="n">
        <f aca="false">SUM(K14,K18:K21)</f>
        <v>15.647999157147</v>
      </c>
      <c r="L22" s="48" t="n">
        <f aca="false">SUM(L14,L18:L21)</f>
        <v>37.9219730455145</v>
      </c>
      <c r="M22" s="48" t="n">
        <f aca="false">SUM(M14,M18:M21)</f>
        <v>37.1289437177338</v>
      </c>
      <c r="N22" s="48" t="n">
        <f aca="false">SUM(N14,N18:N21)</f>
        <v>37.5513827844827</v>
      </c>
      <c r="O22" s="48" t="n">
        <f aca="false">SUM(O14,O18:O21)</f>
        <v>15.647607957168</v>
      </c>
      <c r="P22" s="48" t="n">
        <f aca="false">SUM(P14,P18:P21)</f>
        <v>37.9210249961884</v>
      </c>
      <c r="Q22" s="48" t="n">
        <f aca="false">SUM(Q14,Q18:Q21)</f>
        <v>37.1280154941408</v>
      </c>
      <c r="R22" s="48" t="n">
        <f aca="false">SUM(R14,R18:R21)</f>
        <v>37.5504439999132</v>
      </c>
      <c r="S22" s="48" t="n">
        <f aca="false">SUM(S14,S18:S21)</f>
        <v>15.6472167669691</v>
      </c>
      <c r="T22" s="48" t="n">
        <f aca="false">SUM(T14,T18:T21)</f>
        <v>37.9200769705635</v>
      </c>
      <c r="U22" s="48" t="n">
        <f aca="false">SUM(U14,U18:U21)</f>
        <v>37.1270872937535</v>
      </c>
      <c r="V22" s="48" t="n">
        <f aca="false">SUM(V14,V18:V21)</f>
        <v>37.5495052388132</v>
      </c>
      <c r="W22" s="48" t="n">
        <f aca="false">SUM(W14,W18:W21)</f>
        <v>15.6468255865499</v>
      </c>
    </row>
    <row r="23" customFormat="false" ht="15" hidden="false" customHeight="false" outlineLevel="0" collapsed="false">
      <c r="C23" s="3" t="s">
        <v>41</v>
      </c>
      <c r="D23" s="16" t="n">
        <f aca="false">SUMIFS('Debt Schedule'!$T$12:$T$47,'Debt Schedule'!$F$12:$F$47,"FY2026",'Debt Schedule'!$G$12:$G$47,"Q2")</f>
        <v>10.7618181945889</v>
      </c>
      <c r="E23" s="16" t="n">
        <f aca="false">SUMIFS('Debt Schedule'!$T$12:$T$47,'Debt Schedule'!$F$12:$F$47,"FY2026",'Debt Schedule'!$G$12:$G$47,"Q3")</f>
        <v>10.4409810052186</v>
      </c>
      <c r="F23" s="16" t="n">
        <f aca="false">SUMIFS('Debt Schedule'!$T$12:$T$47,'Debt Schedule'!$F$12:$F$47,"FY2026",'Debt Schedule'!$G$12:$G$47,"Q4")</f>
        <v>10.1121654933014</v>
      </c>
      <c r="G23" s="16" t="n">
        <f aca="false">SUMIFS('Debt Schedule'!$T$12:$T$47,'Debt Schedule'!$F$12:$F$47,"FY2027",'Debt Schedule'!$G$12:$G$47,"Q1")</f>
        <v>9.95398953758244</v>
      </c>
      <c r="H23" s="16" t="n">
        <f aca="false">SUMIFS('Debt Schedule'!$T$12:$T$47,'Debt Schedule'!$F$12:$F$47,"FY2027",'Debt Schedule'!$G$12:$G$47,"Q2")</f>
        <v>9.7896775881343</v>
      </c>
      <c r="I23" s="16" t="n">
        <f aca="false">SUMIFS('Debt Schedule'!$T$12:$T$47,'Debt Schedule'!$F$12:$F$47,"FY2027",'Debt Schedule'!$G$12:$G$47,"Q3")</f>
        <v>9.46586741578796</v>
      </c>
      <c r="J23" s="16" t="n">
        <f aca="false">SUMIFS('Debt Schedule'!$T$12:$T$47,'Debt Schedule'!$F$12:$F$47,"FY2027",'Debt Schedule'!$G$12:$G$47,"Q4")</f>
        <v>9.22673521613532</v>
      </c>
      <c r="K23" s="16" t="n">
        <f aca="false">SUMIFS('Debt Schedule'!$T$12:$T$47,'Debt Schedule'!$F$12:$F$47,"FY2028",'Debt Schedule'!$G$12:$G$47,"Q1")</f>
        <v>8.97919602875223</v>
      </c>
      <c r="L23" s="16" t="n">
        <f aca="false">SUMIFS('Debt Schedule'!$T$12:$T$47,'Debt Schedule'!$F$12:$F$47,"FY2028",'Debt Schedule'!$G$12:$G$47,"Q2")</f>
        <v>8.7840299439707</v>
      </c>
      <c r="M23" s="16" t="n">
        <f aca="false">SUMIFS('Debt Schedule'!$T$12:$T$47,'Debt Schedule'!$F$12:$F$47,"FY2028",'Debt Schedule'!$G$12:$G$47,"Q3")</f>
        <v>8.56736455778989</v>
      </c>
      <c r="N23" s="16" t="n">
        <f aca="false">SUMIFS('Debt Schedule'!$T$12:$T$47,'Debt Schedule'!$F$12:$F$47,"FY2028",'Debt Schedule'!$G$12:$G$47,"Q4")</f>
        <v>8.37180440153989</v>
      </c>
      <c r="O23" s="16" t="n">
        <f aca="false">SUMIFS('Debt Schedule'!$T$12:$T$47,'Debt Schedule'!$F$12:$F$47,"FY2029",'Debt Schedule'!$G$12:$G$47,"Q1")</f>
        <v>7.98039968476301</v>
      </c>
      <c r="P23" s="16" t="n">
        <f aca="false">SUMIFS('Debt Schedule'!$T$12:$T$47,'Debt Schedule'!$F$12:$F$47,"FY2029",'Debt Schedule'!$G$12:$G$47,"Q2")</f>
        <v>7.78483952851302</v>
      </c>
      <c r="Q23" s="16" t="n">
        <f aca="false">SUMIFS('Debt Schedule'!$T$12:$T$47,'Debt Schedule'!$F$12:$F$47,"FY2029",'Debt Schedule'!$G$12:$G$47,"Q3")</f>
        <v>7.58927937226301</v>
      </c>
      <c r="R23" s="16" t="n">
        <f aca="false">SUMIFS('Debt Schedule'!$T$12:$T$47,'Debt Schedule'!$F$12:$F$47,"FY2029",'Debt Schedule'!$G$12:$G$47,"Q4")</f>
        <v>7.39371921601301</v>
      </c>
      <c r="S23" s="16" t="n">
        <f aca="false">SUMIFS('Debt Schedule'!$T$12:$T$47,'Debt Schedule'!$F$12:$F$47,"FY2030",'Debt Schedule'!$G$12:$G$47,"Q1")</f>
        <v>6.90415632322047</v>
      </c>
      <c r="T23" s="16" t="n">
        <f aca="false">SUMIFS('Debt Schedule'!$T$12:$T$47,'Debt Schedule'!$F$12:$F$47,"FY2030",'Debt Schedule'!$G$12:$G$47,"Q2")</f>
        <v>6.70859616697046</v>
      </c>
      <c r="U23" s="16" t="n">
        <f aca="false">SUMIFS('Debt Schedule'!$T$12:$T$47,'Debt Schedule'!$F$12:$F$47,"FY2030",'Debt Schedule'!$G$12:$G$47,"Q3")</f>
        <v>6.51303601072047</v>
      </c>
      <c r="V23" s="16" t="n">
        <f aca="false">SUMIFS('Debt Schedule'!$T$12:$T$47,'Debt Schedule'!$F$12:$F$47,"FY2030",'Debt Schedule'!$G$12:$G$47,"Q4")</f>
        <v>6.31747585447046</v>
      </c>
      <c r="W23" s="16" t="n">
        <f aca="false">SUMIFS('Debt Schedule'!$T$12:$T$47,'Debt Schedule'!$F$12:$F$47,"FY2031",'Debt Schedule'!$G$12:$G$47,"Q1")</f>
        <v>5.74061480997457</v>
      </c>
    </row>
    <row r="24" customFormat="false" ht="15" hidden="false" customHeight="false" outlineLevel="0" collapsed="false">
      <c r="C24" s="3" t="s">
        <v>920</v>
      </c>
      <c r="D24" s="16" t="n">
        <f aca="false">SUM(D14,D18:D19,D21)-D23</f>
        <v>42.2225225047621</v>
      </c>
      <c r="E24" s="16" t="n">
        <f aca="false">SUM(E14,E18:E19,E21)-E23</f>
        <v>43.9409032451924</v>
      </c>
      <c r="F24" s="16" t="n">
        <f aca="false">SUM(F14,F18:F19,F21)-F23</f>
        <v>44.5031485876825</v>
      </c>
      <c r="G24" s="16" t="n">
        <f aca="false">SUM(G14,G18:G19,G21)-G23</f>
        <v>19.6952407610747</v>
      </c>
      <c r="H24" s="16" t="n">
        <f aca="false">SUM(H14,H18:H19,H21)-H23</f>
        <v>43.9691817038061</v>
      </c>
      <c r="I24" s="16" t="n">
        <f aca="false">SUM(I14,I18:I19,I21)-I23</f>
        <v>44.9976928318289</v>
      </c>
      <c r="J24" s="16" t="n">
        <f aca="false">SUM(J14,J18:J19,J21)-J23</f>
        <v>45.4693391566026</v>
      </c>
      <c r="K24" s="16" t="n">
        <f aca="false">SUM(K14,K18:K19,K21)-K23</f>
        <v>20.6692930391475</v>
      </c>
      <c r="L24" s="16" t="n">
        <f aca="false">SUM(L14,L18:L19,L21)-L23</f>
        <v>44.9734853764874</v>
      </c>
      <c r="M24" s="16" t="n">
        <f aca="false">SUM(M14,M18:M19,M21)-M23</f>
        <v>45.8948341008209</v>
      </c>
      <c r="N24" s="16" t="n">
        <f aca="false">SUM(N14,N18:N19,N21)-N23</f>
        <v>46.3229025693388</v>
      </c>
      <c r="O24" s="16" t="n">
        <f aca="false">SUM(O14,O18:O19,O21)-O23</f>
        <v>21.6673481709099</v>
      </c>
      <c r="P24" s="16" t="n">
        <f aca="false">SUM(P14,P18:P19,P21)-P23</f>
        <v>45.9713318540621</v>
      </c>
      <c r="Q24" s="16" t="n">
        <f aca="false">SUM(Q14,Q18:Q19,Q21)-Q23</f>
        <v>46.8715577313813</v>
      </c>
      <c r="R24" s="16" t="n">
        <f aca="false">SUM(R14,R18:R19,R21)-R23</f>
        <v>47.2996203871914</v>
      </c>
      <c r="S24" s="16" t="n">
        <f aca="false">SUM(S14,S18:S19,S21)-S23</f>
        <v>22.742850338756</v>
      </c>
      <c r="T24" s="16" t="n">
        <f aca="false">SUM(T14,T18:T19,T21)-T23</f>
        <v>47.0462313113201</v>
      </c>
      <c r="U24" s="16" t="n">
        <f aca="false">SUM(U14,U18:U19,U21)-U23</f>
        <v>47.9464395719963</v>
      </c>
      <c r="V24" s="16" t="n">
        <f aca="false">SUM(V14,V18:V19,V21)-V23</f>
        <v>48.3744964152438</v>
      </c>
      <c r="W24" s="16" t="n">
        <f aca="false">SUM(W14,W18:W19,W21)-W23</f>
        <v>23.9056506768354</v>
      </c>
    </row>
    <row r="25" customFormat="false" ht="15" hidden="false" customHeight="false" outlineLevel="0" collapsed="false">
      <c r="C25" s="3" t="s">
        <v>921</v>
      </c>
      <c r="D25" s="16" t="n">
        <f aca="false">D24+D20</f>
        <v>26.3861884230121</v>
      </c>
      <c r="E25" s="16" t="n">
        <f aca="false">E24+E20</f>
        <v>26.6067816090674</v>
      </c>
      <c r="F25" s="16" t="n">
        <f aca="false">F24+F20</f>
        <v>27.3589672029325</v>
      </c>
      <c r="G25" s="16" t="n">
        <f aca="false">G24+G20</f>
        <v>5.69440082932372</v>
      </c>
      <c r="H25" s="16" t="n">
        <f aca="false">H24+H20</f>
        <v>28.1332435304081</v>
      </c>
      <c r="I25" s="16" t="n">
        <f aca="false">I24+I20</f>
        <v>27.6640045487448</v>
      </c>
      <c r="J25" s="16" t="n">
        <f aca="false">J24+J20</f>
        <v>28.3255863763873</v>
      </c>
      <c r="K25" s="16" t="n">
        <f aca="false">K24+K20</f>
        <v>6.66880312839481</v>
      </c>
      <c r="L25" s="16" t="n">
        <f aca="false">L24+L20</f>
        <v>29.1379431015438</v>
      </c>
      <c r="M25" s="16" t="n">
        <f aca="false">M24+M20</f>
        <v>28.5615791599439</v>
      </c>
      <c r="N25" s="16" t="n">
        <f aca="false">N24+N20</f>
        <v>29.1795783829429</v>
      </c>
      <c r="O25" s="16" t="n">
        <f aca="false">O24+O20</f>
        <v>7.667208272405</v>
      </c>
      <c r="P25" s="16" t="n">
        <f aca="false">P24+P20</f>
        <v>30.1361854676754</v>
      </c>
      <c r="Q25" s="16" t="n">
        <f aca="false">Q24+Q20</f>
        <v>29.5387361218778</v>
      </c>
      <c r="R25" s="16" t="n">
        <f aca="false">R24+R20</f>
        <v>30.1567247839002</v>
      </c>
      <c r="S25" s="16" t="n">
        <f aca="false">S24+S20</f>
        <v>8.74306044374862</v>
      </c>
      <c r="T25" s="16" t="n">
        <f aca="false">T24+T20</f>
        <v>31.211480803593</v>
      </c>
      <c r="U25" s="16" t="n">
        <f aca="false">U24+U20</f>
        <v>30.614051283033</v>
      </c>
      <c r="V25" s="16" t="n">
        <f aca="false">V24+V20</f>
        <v>31.2320293843427</v>
      </c>
      <c r="W25" s="16" t="n">
        <f aca="false">W24+W20</f>
        <v>9.90621077657529</v>
      </c>
    </row>
    <row r="26" customFormat="false" ht="15" hidden="false" customHeight="false" outlineLevel="0" collapsed="false">
      <c r="C26" s="3" t="s">
        <v>922</v>
      </c>
      <c r="D26" s="16" t="n">
        <f aca="false">SUMIFS(Assumptions!$AK$41:$AK$364,Assumptions!$C$41:$C$364,$D$4,Assumptions!$I$41:$I$364,"FY2026",Assumptions!$J$41:$J$364,"Q2")+SUMIFS(Assumptions!$AL$41:$AL$364,Assumptions!$C$41:$C$364,$D$4,Assumptions!$I$41:$I$364,"FY2026",Assumptions!$J$41:$J$364,"Q2")</f>
        <v>4.87499999999999</v>
      </c>
      <c r="E26" s="16" t="n">
        <f aca="false">SUMIFS(Assumptions!$AK$41:$AK$364,Assumptions!$C$41:$C$364,$D$4,Assumptions!$I$41:$I$364,"FY2026",Assumptions!$J$41:$J$364,"Q3")+SUMIFS(Assumptions!$AL$41:$AL$364,Assumptions!$C$41:$C$364,$D$4,Assumptions!$I$41:$I$364,"FY2026",Assumptions!$J$41:$J$364,"Q3")</f>
        <v>4.87499999999999</v>
      </c>
      <c r="F26" s="16" t="n">
        <f aca="false">SUMIFS(Assumptions!$AK$41:$AK$364,Assumptions!$C$41:$C$364,$D$4,Assumptions!$I$41:$I$364,"FY2026",Assumptions!$J$41:$J$364,"Q4")+SUMIFS(Assumptions!$AL$41:$AL$364,Assumptions!$C$41:$C$364,$D$4,Assumptions!$I$41:$I$364,"FY2026",Assumptions!$J$41:$J$364,"Q4")</f>
        <v>4.87499999999999</v>
      </c>
      <c r="G26" s="16" t="n">
        <f aca="false">SUMIFS(Assumptions!$AK$41:$AK$364,Assumptions!$C$41:$C$364,$D$4,Assumptions!$I$41:$I$364,"FY2027",Assumptions!$J$41:$J$364,"Q1")+SUMIFS(Assumptions!$AL$41:$AL$364,Assumptions!$C$41:$C$364,$D$4,Assumptions!$I$41:$I$364,"FY2027",Assumptions!$J$41:$J$364,"Q1")</f>
        <v>4.87499999999999</v>
      </c>
      <c r="H26" s="16" t="n">
        <f aca="false">SUMIFS(Assumptions!$AK$41:$AK$364,Assumptions!$C$41:$C$364,$D$4,Assumptions!$I$41:$I$364,"FY2027",Assumptions!$J$41:$J$364,"Q2")+SUMIFS(Assumptions!$AL$41:$AL$364,Assumptions!$C$41:$C$364,$D$4,Assumptions!$I$41:$I$364,"FY2027",Assumptions!$J$41:$J$364,"Q2")</f>
        <v>4.87499999999999</v>
      </c>
      <c r="I26" s="16" t="n">
        <f aca="false">SUMIFS(Assumptions!$AK$41:$AK$364,Assumptions!$C$41:$C$364,$D$4,Assumptions!$I$41:$I$364,"FY2027",Assumptions!$J$41:$J$364,"Q3")+SUMIFS(Assumptions!$AL$41:$AL$364,Assumptions!$C$41:$C$364,$D$4,Assumptions!$I$41:$I$364,"FY2027",Assumptions!$J$41:$J$364,"Q3")</f>
        <v>4.87499999999999</v>
      </c>
      <c r="J26" s="16" t="n">
        <f aca="false">SUMIFS(Assumptions!$AK$41:$AK$364,Assumptions!$C$41:$C$364,$D$4,Assumptions!$I$41:$I$364,"FY2027",Assumptions!$J$41:$J$364,"Q4")+SUMIFS(Assumptions!$AL$41:$AL$364,Assumptions!$C$41:$C$364,$D$4,Assumptions!$I$41:$I$364,"FY2027",Assumptions!$J$41:$J$364,"Q4")</f>
        <v>4.87499999999999</v>
      </c>
      <c r="K26" s="16" t="n">
        <f aca="false">SUMIFS(Assumptions!$AK$41:$AK$364,Assumptions!$C$41:$C$364,$D$4,Assumptions!$I$41:$I$364,"FY2028",Assumptions!$J$41:$J$364,"Q1")+SUMIFS(Assumptions!$AL$41:$AL$364,Assumptions!$C$41:$C$364,$D$4,Assumptions!$I$41:$I$364,"FY2028",Assumptions!$J$41:$J$364,"Q1")</f>
        <v>4.87499999999999</v>
      </c>
      <c r="L26" s="16" t="n">
        <f aca="false">SUMIFS(Assumptions!$AK$41:$AK$364,Assumptions!$C$41:$C$364,$D$4,Assumptions!$I$41:$I$364,"FY2028",Assumptions!$J$41:$J$364,"Q2")+SUMIFS(Assumptions!$AL$41:$AL$364,Assumptions!$C$41:$C$364,$D$4,Assumptions!$I$41:$I$364,"FY2028",Assumptions!$J$41:$J$364,"Q2")</f>
        <v>4.875</v>
      </c>
      <c r="M26" s="16" t="n">
        <f aca="false">SUMIFS(Assumptions!$AK$41:$AK$364,Assumptions!$C$41:$C$364,$D$4,Assumptions!$I$41:$I$364,"FY2028",Assumptions!$J$41:$J$364,"Q3")+SUMIFS(Assumptions!$AL$41:$AL$364,Assumptions!$C$41:$C$364,$D$4,Assumptions!$I$41:$I$364,"FY2028",Assumptions!$J$41:$J$364,"Q3")</f>
        <v>4.875</v>
      </c>
      <c r="N26" s="16" t="n">
        <f aca="false">SUMIFS(Assumptions!$AK$41:$AK$364,Assumptions!$C$41:$C$364,$D$4,Assumptions!$I$41:$I$364,"FY2028",Assumptions!$J$41:$J$364,"Q4")+SUMIFS(Assumptions!$AL$41:$AL$364,Assumptions!$C$41:$C$364,$D$4,Assumptions!$I$41:$I$364,"FY2028",Assumptions!$J$41:$J$364,"Q4")</f>
        <v>4.875</v>
      </c>
      <c r="O26" s="16" t="n">
        <f aca="false">SUMIFS(Assumptions!$AK$41:$AK$364,Assumptions!$C$41:$C$364,$D$4,Assumptions!$I$41:$I$364,"FY2029",Assumptions!$J$41:$J$364,"Q1")+SUMIFS(Assumptions!$AL$41:$AL$364,Assumptions!$C$41:$C$364,$D$4,Assumptions!$I$41:$I$364,"FY2029",Assumptions!$J$41:$J$364,"Q1")</f>
        <v>4.875</v>
      </c>
      <c r="P26" s="16" t="n">
        <f aca="false">SUMIFS(Assumptions!$AK$41:$AK$364,Assumptions!$C$41:$C$364,$D$4,Assumptions!$I$41:$I$364,"FY2029",Assumptions!$J$41:$J$364,"Q2")+SUMIFS(Assumptions!$AL$41:$AL$364,Assumptions!$C$41:$C$364,$D$4,Assumptions!$I$41:$I$364,"FY2029",Assumptions!$J$41:$J$364,"Q2")</f>
        <v>4.875</v>
      </c>
      <c r="Q26" s="16" t="n">
        <f aca="false">SUMIFS(Assumptions!$AK$41:$AK$364,Assumptions!$C$41:$C$364,$D$4,Assumptions!$I$41:$I$364,"FY2029",Assumptions!$J$41:$J$364,"Q3")+SUMIFS(Assumptions!$AL$41:$AL$364,Assumptions!$C$41:$C$364,$D$4,Assumptions!$I$41:$I$364,"FY2029",Assumptions!$J$41:$J$364,"Q3")</f>
        <v>4.875</v>
      </c>
      <c r="R26" s="16" t="n">
        <f aca="false">SUMIFS(Assumptions!$AK$41:$AK$364,Assumptions!$C$41:$C$364,$D$4,Assumptions!$I$41:$I$364,"FY2029",Assumptions!$J$41:$J$364,"Q4")+SUMIFS(Assumptions!$AL$41:$AL$364,Assumptions!$C$41:$C$364,$D$4,Assumptions!$I$41:$I$364,"FY2029",Assumptions!$J$41:$J$364,"Q4")</f>
        <v>4.875</v>
      </c>
      <c r="S26" s="16" t="n">
        <f aca="false">SUMIFS(Assumptions!$AK$41:$AK$364,Assumptions!$C$41:$C$364,$D$4,Assumptions!$I$41:$I$364,"FY2030",Assumptions!$J$41:$J$364,"Q1")+SUMIFS(Assumptions!$AL$41:$AL$364,Assumptions!$C$41:$C$364,$D$4,Assumptions!$I$41:$I$364,"FY2030",Assumptions!$J$41:$J$364,"Q1")</f>
        <v>4.875</v>
      </c>
      <c r="T26" s="16" t="n">
        <f aca="false">SUMIFS(Assumptions!$AK$41:$AK$364,Assumptions!$C$41:$C$364,$D$4,Assumptions!$I$41:$I$364,"FY2030",Assumptions!$J$41:$J$364,"Q2")+SUMIFS(Assumptions!$AL$41:$AL$364,Assumptions!$C$41:$C$364,$D$4,Assumptions!$I$41:$I$364,"FY2030",Assumptions!$J$41:$J$364,"Q2")</f>
        <v>4.875</v>
      </c>
      <c r="U26" s="16" t="n">
        <f aca="false">SUMIFS(Assumptions!$AK$41:$AK$364,Assumptions!$C$41:$C$364,$D$4,Assumptions!$I$41:$I$364,"FY2030",Assumptions!$J$41:$J$364,"Q3")+SUMIFS(Assumptions!$AL$41:$AL$364,Assumptions!$C$41:$C$364,$D$4,Assumptions!$I$41:$I$364,"FY2030",Assumptions!$J$41:$J$364,"Q3")</f>
        <v>4.875</v>
      </c>
      <c r="V26" s="16" t="n">
        <f aca="false">SUMIFS(Assumptions!$AK$41:$AK$364,Assumptions!$C$41:$C$364,$D$4,Assumptions!$I$41:$I$364,"FY2030",Assumptions!$J$41:$J$364,"Q4")+SUMIFS(Assumptions!$AL$41:$AL$364,Assumptions!$C$41:$C$364,$D$4,Assumptions!$I$41:$I$364,"FY2030",Assumptions!$J$41:$J$364,"Q4")</f>
        <v>4.875</v>
      </c>
      <c r="W26" s="16" t="n">
        <f aca="false">SUMIFS(Assumptions!$AK$41:$AK$364,Assumptions!$C$41:$C$364,$D$4,Assumptions!$I$41:$I$364,"FY2031",Assumptions!$J$41:$J$364,"Q1")+SUMIFS(Assumptions!$AL$41:$AL$364,Assumptions!$C$41:$C$364,$D$4,Assumptions!$I$41:$I$364,"FY2031",Assumptions!$J$41:$J$364,"Q1")</f>
        <v>4.875</v>
      </c>
    </row>
    <row r="27" customFormat="false" ht="15" hidden="false" customHeight="false" outlineLevel="0" collapsed="false">
      <c r="C27" s="3" t="s">
        <v>923</v>
      </c>
      <c r="D27" s="16" t="n">
        <f aca="false">D22-D23-D26</f>
        <v>21.5111884230121</v>
      </c>
      <c r="E27" s="16" t="n">
        <f aca="false">E22-E23-E26</f>
        <v>21.7317816090674</v>
      </c>
      <c r="F27" s="16" t="n">
        <f aca="false">F22-F23-F26</f>
        <v>22.4839672029325</v>
      </c>
      <c r="G27" s="16" t="n">
        <f aca="false">G22-G23-G26</f>
        <v>0.819400829323724</v>
      </c>
      <c r="H27" s="16" t="n">
        <f aca="false">H22-H23-H26</f>
        <v>23.2582435304081</v>
      </c>
      <c r="I27" s="16" t="n">
        <f aca="false">I22-I23-I26</f>
        <v>22.7890045487448</v>
      </c>
      <c r="J27" s="16" t="n">
        <f aca="false">J22-J23-J26</f>
        <v>23.4505863763873</v>
      </c>
      <c r="K27" s="16" t="n">
        <f aca="false">K22-K23-K26</f>
        <v>1.79380312839481</v>
      </c>
      <c r="L27" s="16" t="n">
        <f aca="false">L22-L23-L26</f>
        <v>24.2629431015438</v>
      </c>
      <c r="M27" s="16" t="n">
        <f aca="false">M22-M23-M26</f>
        <v>23.6865791599439</v>
      </c>
      <c r="N27" s="16" t="n">
        <f aca="false">N22-N23-N26</f>
        <v>24.3045783829429</v>
      </c>
      <c r="O27" s="16" t="n">
        <f aca="false">O22-O23-O26</f>
        <v>2.792208272405</v>
      </c>
      <c r="P27" s="16" t="n">
        <f aca="false">P22-P23-P26</f>
        <v>25.2611854676754</v>
      </c>
      <c r="Q27" s="16" t="n">
        <f aca="false">Q22-Q23-Q26</f>
        <v>24.6637361218778</v>
      </c>
      <c r="R27" s="16" t="n">
        <f aca="false">R22-R23-R26</f>
        <v>25.2817247839002</v>
      </c>
      <c r="S27" s="16" t="n">
        <f aca="false">S22-S23-S26</f>
        <v>3.86806044374862</v>
      </c>
      <c r="T27" s="16" t="n">
        <f aca="false">T22-T23-T26</f>
        <v>26.336480803593</v>
      </c>
      <c r="U27" s="16" t="n">
        <f aca="false">U22-U23-U26</f>
        <v>25.739051283033</v>
      </c>
      <c r="V27" s="16" t="n">
        <f aca="false">V22-V23-V26</f>
        <v>26.3570293843427</v>
      </c>
      <c r="W27" s="16" t="n">
        <f aca="false">W22-W23-W26</f>
        <v>5.03121077657529</v>
      </c>
    </row>
    <row r="28" customFormat="false" ht="15" hidden="false" customHeight="false" outlineLevel="0" collapsed="false">
      <c r="C28" s="3" t="s">
        <v>692</v>
      </c>
      <c r="D28" s="16" t="str">
        <f aca="false">"SRC-001;SRC-002;SRC-003"</f>
        <v>SRC-001;SRC-002;SRC-003</v>
      </c>
      <c r="E28" s="16" t="str">
        <f aca="false">"SRC-001;SRC-002;SRC-003"</f>
        <v>SRC-001;SRC-002;SRC-003</v>
      </c>
      <c r="F28" s="16" t="str">
        <f aca="false">"SRC-001;SRC-002;SRC-003"</f>
        <v>SRC-001;SRC-002;SRC-003</v>
      </c>
      <c r="G28" s="16" t="str">
        <f aca="false">"SRC-001;SRC-002;SRC-003"</f>
        <v>SRC-001;SRC-002;SRC-003</v>
      </c>
      <c r="H28" s="16" t="str">
        <f aca="false">"SRC-001;SRC-002;SRC-003"</f>
        <v>SRC-001;SRC-002;SRC-003</v>
      </c>
      <c r="I28" s="16" t="str">
        <f aca="false">"SRC-001;SRC-002;SRC-003"</f>
        <v>SRC-001;SRC-002;SRC-003</v>
      </c>
      <c r="J28" s="16" t="str">
        <f aca="false">"SRC-001;SRC-002;SRC-003"</f>
        <v>SRC-001;SRC-002;SRC-003</v>
      </c>
      <c r="K28" s="16" t="str">
        <f aca="false">"SRC-001;SRC-002;SRC-003"</f>
        <v>SRC-001;SRC-002;SRC-003</v>
      </c>
      <c r="L28" s="16" t="str">
        <f aca="false">"SRC-001;SRC-002;SRC-003"</f>
        <v>SRC-001;SRC-002;SRC-003</v>
      </c>
      <c r="M28" s="16" t="str">
        <f aca="false">"SRC-001;SRC-002;SRC-003"</f>
        <v>SRC-001;SRC-002;SRC-003</v>
      </c>
      <c r="N28" s="16" t="str">
        <f aca="false">"SRC-001;SRC-002;SRC-003"</f>
        <v>SRC-001;SRC-002;SRC-003</v>
      </c>
      <c r="O28" s="16" t="str">
        <f aca="false">"SRC-001;SRC-002;SRC-003"</f>
        <v>SRC-001;SRC-002;SRC-003</v>
      </c>
      <c r="P28" s="16" t="str">
        <f aca="false">"SRC-001;SRC-002;SRC-003"</f>
        <v>SRC-001;SRC-002;SRC-003</v>
      </c>
      <c r="Q28" s="16" t="str">
        <f aca="false">"SRC-001;SRC-002;SRC-003"</f>
        <v>SRC-001;SRC-002;SRC-003</v>
      </c>
      <c r="R28" s="16" t="str">
        <f aca="false">"SRC-001;SRC-002;SRC-003"</f>
        <v>SRC-001;SRC-002;SRC-003</v>
      </c>
      <c r="S28" s="16" t="str">
        <f aca="false">"SRC-001;SRC-002;SRC-003"</f>
        <v>SRC-001;SRC-002;SRC-003</v>
      </c>
      <c r="T28" s="16" t="str">
        <f aca="false">"SRC-001;SRC-002;SRC-003"</f>
        <v>SRC-001;SRC-002;SRC-003</v>
      </c>
      <c r="U28" s="16" t="str">
        <f aca="false">"SRC-001;SRC-002;SRC-003"</f>
        <v>SRC-001;SRC-002;SRC-003</v>
      </c>
      <c r="V28" s="16" t="str">
        <f aca="false">"SRC-001;SRC-002;SRC-003"</f>
        <v>SRC-001;SRC-002;SRC-003</v>
      </c>
      <c r="W28" s="16" t="str">
        <f aca="false">"SRC-001;SRC-002;SRC-003"</f>
        <v>SRC-001;SRC-002;SRC-003</v>
      </c>
    </row>
  </sheetData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7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A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1" topLeftCell="E12" activePane="bottomRight" state="frozen"/>
      <selection pane="topLeft" activeCell="A1" activeCellId="0" sqref="A1"/>
      <selection pane="topRight" activeCell="E1" activeCellId="0" sqref="E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6" min="5" style="1" width="11"/>
    <col collapsed="false" customWidth="true" hidden="false" outlineLevel="0" max="8" min="7" style="1" width="9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4" min="14" style="1" width="13"/>
    <col collapsed="false" customWidth="true" hidden="false" outlineLevel="0" max="15" min="15" style="1" width="15"/>
    <col collapsed="false" customWidth="true" hidden="false" outlineLevel="0" max="16" min="16" style="1" width="13"/>
    <col collapsed="false" customWidth="true" hidden="false" outlineLevel="0" max="17" min="17" style="1" width="16"/>
    <col collapsed="false" customWidth="true" hidden="false" outlineLevel="0" max="18" min="18" style="1" width="13"/>
    <col collapsed="false" customWidth="true" hidden="false" outlineLevel="0" max="19" min="19" style="1" width="15"/>
    <col collapsed="false" customWidth="true" hidden="false" outlineLevel="0" max="20" min="20" style="1" width="13"/>
    <col collapsed="false" customWidth="true" hidden="false" outlineLevel="0" max="21" min="21" style="1" width="15"/>
    <col collapsed="false" customWidth="true" hidden="false" outlineLevel="0" max="23" min="22" style="1" width="13"/>
    <col collapsed="false" customWidth="true" hidden="false" outlineLevel="0" max="27" min="24" style="1" width="15"/>
    <col collapsed="false" customWidth="true" hidden="false" outlineLevel="0" max="28" min="28" style="1" width="14"/>
    <col collapsed="false" customWidth="true" hidden="false" outlineLevel="0" max="29" min="29" style="1" width="15"/>
    <col collapsed="false" customWidth="true" hidden="false" outlineLevel="0" max="30" min="30" style="1" width="28"/>
  </cols>
  <sheetData>
    <row r="2" customFormat="false" ht="18.55" hidden="false" customHeight="false" outlineLevel="0" collapsed="false">
      <c r="C2" s="2" t="s">
        <v>924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customFormat="false" ht="15" hidden="false" customHeight="false" outlineLevel="0" collapsed="false">
      <c r="C4" s="3" t="s">
        <v>1</v>
      </c>
      <c r="D4" s="5" t="str">
        <f aca="false">Assumptions!$D$4</f>
        <v>Base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customFormat="false" ht="15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customFormat="false" ht="15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customFormat="false" ht="26.85" hidden="false" customHeight="false" outlineLevel="0" collapsed="false">
      <c r="C7" s="10" t="s">
        <v>925</v>
      </c>
      <c r="D7" s="11" t="s">
        <v>926</v>
      </c>
      <c r="E7" s="11" t="s">
        <v>927</v>
      </c>
      <c r="F7" s="11" t="s">
        <v>928</v>
      </c>
      <c r="G7" s="11" t="s">
        <v>929</v>
      </c>
      <c r="H7" s="11" t="s">
        <v>930</v>
      </c>
      <c r="I7" s="11" t="s">
        <v>662</v>
      </c>
      <c r="J7" s="11" t="s">
        <v>931</v>
      </c>
      <c r="K7" s="11" t="s">
        <v>663</v>
      </c>
      <c r="L7" s="11" t="s">
        <v>158</v>
      </c>
      <c r="M7" s="11" t="s">
        <v>932</v>
      </c>
      <c r="N7" s="11" t="s">
        <v>933</v>
      </c>
      <c r="O7" s="11" t="s">
        <v>101</v>
      </c>
      <c r="P7" s="11" t="s">
        <v>934</v>
      </c>
      <c r="Q7" s="11" t="s">
        <v>935</v>
      </c>
      <c r="R7" s="11" t="s">
        <v>936</v>
      </c>
      <c r="S7" s="11" t="s">
        <v>937</v>
      </c>
      <c r="T7" s="11" t="s">
        <v>41</v>
      </c>
      <c r="U7" s="11" t="s">
        <v>938</v>
      </c>
      <c r="V7" s="11" t="s">
        <v>922</v>
      </c>
      <c r="W7" s="11" t="s">
        <v>939</v>
      </c>
      <c r="X7" s="11" t="s">
        <v>940</v>
      </c>
      <c r="Y7" s="11" t="s">
        <v>941</v>
      </c>
      <c r="Z7" s="11" t="s">
        <v>942</v>
      </c>
      <c r="AA7" s="11" t="s">
        <v>943</v>
      </c>
      <c r="AB7" s="11" t="s">
        <v>944</v>
      </c>
      <c r="AC7" s="11" t="s">
        <v>673</v>
      </c>
      <c r="AD7" s="12" t="s">
        <v>110</v>
      </c>
    </row>
    <row r="8" customFormat="false" ht="15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customFormat="false" ht="24" hidden="false" customHeight="true" outlineLevel="0" collapsed="false">
      <c r="C9" s="32" t="s">
        <v>945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customFormat="false" ht="15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customFormat="false" ht="15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customFormat="false" ht="15" hidden="false" customHeight="false" outlineLevel="0" collapsed="false">
      <c r="C12" s="14" t="s">
        <v>252</v>
      </c>
      <c r="D12" s="29" t="n">
        <v>46081</v>
      </c>
      <c r="E12" s="14" t="s">
        <v>253</v>
      </c>
      <c r="F12" s="14" t="s">
        <v>254</v>
      </c>
      <c r="G12" s="14" t="s">
        <v>255</v>
      </c>
      <c r="H12" s="14" t="n">
        <v>28</v>
      </c>
      <c r="I12" s="16" t="n">
        <f aca="false">SUMIFS(Assumptions!$T$41:$T$364,Assumptions!$C$41:$C$364,$D$4,Assumptions!$E$41:$E$364,$C12)+(Assumptions!$D$25+IF($C12="P001",-SUMIFS(Assumptions!$L$41:$L$364,Assumptions!$C$41:$C$364,$D$4,Assumptions!$E$41:$E$364,$C12)/365*Assumptions!$D$23,0))</f>
        <v>12.3826688725337</v>
      </c>
      <c r="J12" s="16" t="n">
        <f aca="false">Assumptions!$D$12</f>
        <v>635</v>
      </c>
      <c r="K12" s="16" t="n">
        <f aca="false">SUMIFS(Assumptions!$Y$41:$Y$364,Assumptions!$C$41:$C$364,$D$4,Assumptions!$E$41:$E$364,$C12)*(Assumptions!$D$12/635)*(Assumptions!$D$18/7.5%)</f>
        <v>0</v>
      </c>
      <c r="L12" s="16" t="n">
        <f aca="false">SUMIFS(Assumptions!$Z$41:$Z$364,Assumptions!$C$41:$C$364,$D$4,Assumptions!$E$41:$E$364,$C12)*(Assumptions!$D$26/50%)*IF(SUMIFS(Assumptions!$AO$41:$AO$364,Assumptions!$C$41:$C$364,$D$4,Assumptions!$E$41:$E$364,$C12)&gt;Assumptions!$D$24,1,0)</f>
        <v>0</v>
      </c>
      <c r="M12" s="16" t="n">
        <f aca="false">SUMIFS(Assumptions!$AB$41:$AB$364,Assumptions!$C$41:$C$364,$D$4,Assumptions!$E$41:$E$364,$C12)</f>
        <v>0</v>
      </c>
      <c r="N12" s="16" t="n">
        <f aca="false">MAX(0,J12-K12-L12-M12)</f>
        <v>635</v>
      </c>
      <c r="O12" s="16" t="n">
        <f aca="false">Assumptions!$D$15</f>
        <v>29.89771875</v>
      </c>
      <c r="P12" s="16" t="n">
        <f aca="false">SUMIFS(Assumptions!$AE$41:$AE$364,Assumptions!$C$41:$C$364,$D$4,Assumptions!$E$41:$E$364,$C12)+IF((Assumptions!$D$25+IF($C12="P001",-SUMIFS(Assumptions!$L$41:$L$364,Assumptions!$C$41:$C$364,$D$4,Assumptions!$E$41:$E$364,$C12)/365*Assumptions!$D$23,0))&lt;0,MIN(MAX(0,Assumptions!$D$14-Assumptions!$D$16-O12),-(Assumptions!$D$25+IF($C12="P001",-SUMIFS(Assumptions!$L$41:$L$364,Assumptions!$C$41:$C$364,$D$4,Assumptions!$E$41:$E$364,$C12)/365*Assumptions!$D$23,0))),0)</f>
        <v>0</v>
      </c>
      <c r="Q12" s="16" t="n">
        <f aca="false">SUMIFS(Assumptions!$AF$41:$AF$364,Assumptions!$C$41:$C$364,$D$4,Assumptions!$E$41:$E$364,$C12)+IF((Assumptions!$D$25+IF($C12="P001",-SUMIFS(Assumptions!$L$41:$L$364,Assumptions!$C$41:$C$364,$D$4,Assumptions!$E$41:$E$364,$C12)/365*Assumptions!$D$23,0))&gt;0,MIN(O12,(Assumptions!$D$25+IF($C12="P001",-SUMIFS(Assumptions!$L$41:$L$364,Assumptions!$C$41:$C$364,$D$4,Assumptions!$E$41:$E$364,$C12)/365*Assumptions!$D$23,0))),0)</f>
        <v>6.43906413377599</v>
      </c>
      <c r="R12" s="16" t="n">
        <f aca="false">MAX(0,O12+P12-Q12)</f>
        <v>23.458654616224</v>
      </c>
      <c r="S12" s="16" t="n">
        <f aca="false">(J12+N12+O12+R12)/2</f>
        <v>661.678186683112</v>
      </c>
      <c r="T12" s="16" t="n">
        <f aca="false">IF(Assumptions!$D$19="","",IF(((SUMIFS(Assumptions!$W$41:$W$364,Assumptions!$C$41:$C$364,$D$4,Assumptions!$E$41:$E$364,$C12)+SUMIFS(Assumptions!$AC$41:$AC$364,Assumptions!$C$41:$C$364,$D$4,Assumptions!$E$41:$E$364,$C12)+SUMIFS(Assumptions!$AD$41:$AD$364,Assumptions!$C$41:$C$364,$D$4,Assumptions!$E$41:$E$364,$C12)+SUMIFS(Assumptions!$AG$41:$AG$364,Assumptions!$C$41:$C$364,$D$4,Assumptions!$E$41:$E$364,$C12))/2)=0,0,SUMIFS(Assumptions!$AI$41:$AI$364,Assumptions!$C$41:$C$364,$D$4,Assumptions!$E$41:$E$364,$C12)*S12/((SUMIFS(Assumptions!$W$41:$W$364,Assumptions!$C$41:$C$364,$D$4,Assumptions!$E$41:$E$364,$C12)+SUMIFS(Assumptions!$AC$41:$AC$364,Assumptions!$C$41:$C$364,$D$4,Assumptions!$E$41:$E$364,$C12)+SUMIFS(Assumptions!$AD$41:$AD$364,Assumptions!$C$41:$C$364,$D$4,Assumptions!$E$41:$E$364,$C12)+SUMIFS(Assumptions!$AG$41:$AG$364,Assumptions!$C$41:$C$364,$D$4,Assumptions!$E$41:$E$364,$C12))/2)*(Assumptions!$D$19/6.57%))+Assumptions!$D$20*S12*H12/365)</f>
        <v>3.62268807209103</v>
      </c>
      <c r="U12" s="16" t="n">
        <f aca="false">SUMIFS(Assumptions!$AJ$41:$AJ$364,Assumptions!$C$41:$C$364,$D$4,Assumptions!$E$41:$E$364,$C12)</f>
        <v>0.695916666666667</v>
      </c>
      <c r="V12" s="16" t="n">
        <f aca="false">SUMIFS(Assumptions!$AK$41:$AK$364,Assumptions!$C$41:$C$364,$D$4,Assumptions!$E$41:$E$364,$C12)+SUMIFS(Assumptions!$AL$41:$AL$364,Assumptions!$C$41:$C$364,$D$4,Assumptions!$E$41:$E$364,$C12)</f>
        <v>1.625</v>
      </c>
      <c r="W12" s="16" t="n">
        <f aca="false">SUMIFS(Assumptions!$U$41:$U$364,Assumptions!$C$41:$C$364,$D$4,Assumptions!$E$41:$E$364,$C12)+(SUMIFS(Assumptions!$V$41:$V$364,Assumptions!$C$41:$C$364,$D$4,Assumptions!$E$41:$E$364,$C12)-SUMIFS(Assumptions!$U$41:$U$364,Assumptions!$C$41:$C$364,$D$4,Assumptions!$E$41:$E$364,$C12))+(Assumptions!$D$25+IF($C12="P001",-SUMIFS(Assumptions!$L$41:$L$364,Assumptions!$C$41:$C$364,$D$4,Assumptions!$E$41:$E$364,$C12)/365*Assumptions!$D$23,0))+(IF((Assumptions!$D$25+IF($C12="P001",-SUMIFS(Assumptions!$L$41:$L$364,Assumptions!$C$41:$C$364,$D$4,Assumptions!$E$41:$E$364,$C12)/365*Assumptions!$D$23,0))&lt;0,MIN(MAX(0,Assumptions!$D$14-Assumptions!$D$16-O12),-(Assumptions!$D$25+IF($C12="P001",-SUMIFS(Assumptions!$L$41:$L$364,Assumptions!$C$41:$C$364,$D$4,Assumptions!$E$41:$E$364,$C12)/365*Assumptions!$D$23,0))),0))-(IF((Assumptions!$D$25+IF($C12="P001",-SUMIFS(Assumptions!$L$41:$L$364,Assumptions!$C$41:$C$364,$D$4,Assumptions!$E$41:$E$364,$C12)/365*Assumptions!$D$23,0))&gt;0,MIN(O12,(Assumptions!$D$25+IF($C12="P001",-SUMIFS(Assumptions!$L$41:$L$364,Assumptions!$C$41:$C$364,$D$4,Assumptions!$E$41:$E$364,$C12)/365*Assumptions!$D$23,0))),0))</f>
        <v>25</v>
      </c>
      <c r="X12" s="16" t="n">
        <f aca="false">N12+R12</f>
        <v>658.458654616224</v>
      </c>
      <c r="Y12" s="16" t="n">
        <f aca="false">Assumptions!$D$17</f>
        <v>62.619</v>
      </c>
      <c r="Z12" s="16" t="n">
        <f aca="false">X12+Y12</f>
        <v>721.077654616224</v>
      </c>
      <c r="AA12" s="16" t="n">
        <f aca="false">MAX(0,Assumptions!$D$14-Assumptions!$D$16-R12)</f>
        <v>270.341345383776</v>
      </c>
      <c r="AB12" s="16" t="n">
        <f aca="false">MAX(0,W12-Assumptions!$D$24)+AA12</f>
        <v>270.341345383776</v>
      </c>
      <c r="AC12" s="16" t="n">
        <f aca="false">SUMIFS(Assumptions!$AM$41:$AM$364,Assumptions!$C$41:$C$364,$D$4,Assumptions!$E$41:$E$364,$C12)+MAX(0,-W12)</f>
        <v>0</v>
      </c>
      <c r="AD12" s="14" t="str">
        <f aca="false">IF(COUNTIFS(Assumptions!$C$41:$C$364,$D$4,Assumptions!$E$41:$E$364,$C12,Assumptions!$AR$41:$AR$364,"*shutoff_active*")&gt;0,"SHUTOFF","AVAILABLE")</f>
        <v>AVAILABLE</v>
      </c>
    </row>
    <row r="13" customFormat="false" ht="15" hidden="false" customHeight="false" outlineLevel="0" collapsed="false">
      <c r="C13" s="14" t="s">
        <v>261</v>
      </c>
      <c r="D13" s="29" t="n">
        <v>46112</v>
      </c>
      <c r="E13" s="14" t="s">
        <v>253</v>
      </c>
      <c r="F13" s="14" t="s">
        <v>254</v>
      </c>
      <c r="G13" s="14" t="s">
        <v>255</v>
      </c>
      <c r="H13" s="14" t="n">
        <v>31</v>
      </c>
      <c r="I13" s="16" t="n">
        <f aca="false">SUMIFS(Assumptions!$T$41:$T$364,Assumptions!$C$41:$C$364,$D$4,Assumptions!$E$41:$E$364,$C13)+(Assumptions!$D$25+IF($C13="P001",-SUMIFS(Assumptions!$L$41:$L$364,Assumptions!$C$41:$C$364,$D$4,Assumptions!$E$41:$E$364,$C13)/365*Assumptions!$D$23,0))</f>
        <v>12.3826688725337</v>
      </c>
      <c r="J13" s="16" t="n">
        <f aca="false">N12</f>
        <v>635</v>
      </c>
      <c r="K13" s="16" t="n">
        <f aca="false">SUMIFS(Assumptions!$Y$41:$Y$364,Assumptions!$C$41:$C$364,$D$4,Assumptions!$E$41:$E$364,$C13)*(Assumptions!$D$12/635)*(Assumptions!$D$18/7.5%)</f>
        <v>0</v>
      </c>
      <c r="L13" s="16" t="n">
        <f aca="false">SUMIFS(Assumptions!$Z$41:$Z$364,Assumptions!$C$41:$C$364,$D$4,Assumptions!$E$41:$E$364,$C13)*(Assumptions!$D$26/50%)*IF(SUMIFS(Assumptions!$AO$41:$AO$364,Assumptions!$C$41:$C$364,$D$4,Assumptions!$E$41:$E$364,$C13)&gt;Assumptions!$D$24,1,0)</f>
        <v>0</v>
      </c>
      <c r="M13" s="16" t="n">
        <f aca="false">SUMIFS(Assumptions!$AB$41:$AB$364,Assumptions!$C$41:$C$364,$D$4,Assumptions!$E$41:$E$364,$C13)</f>
        <v>0</v>
      </c>
      <c r="N13" s="16" t="n">
        <f aca="false">MAX(0,J13-K13-L13-M13)</f>
        <v>635</v>
      </c>
      <c r="O13" s="16" t="n">
        <f aca="false">R12</f>
        <v>23.458654616224</v>
      </c>
      <c r="P13" s="16" t="n">
        <f aca="false">SUMIFS(Assumptions!$AE$41:$AE$364,Assumptions!$C$41:$C$364,$D$4,Assumptions!$E$41:$E$364,$C13)+IF((Assumptions!$D$25+IF($C13="P001",-SUMIFS(Assumptions!$L$41:$L$364,Assumptions!$C$41:$C$364,$D$4,Assumptions!$E$41:$E$364,$C13)/365*Assumptions!$D$23,0))&lt;0,MIN(MAX(0,Assumptions!$D$14-Assumptions!$D$16-O13),-(Assumptions!$D$25+IF($C13="P001",-SUMIFS(Assumptions!$L$41:$L$364,Assumptions!$C$41:$C$364,$D$4,Assumptions!$E$41:$E$364,$C13)/365*Assumptions!$D$23,0))),0)</f>
        <v>0</v>
      </c>
      <c r="Q13" s="16" t="n">
        <f aca="false">SUMIFS(Assumptions!$AF$41:$AF$364,Assumptions!$C$41:$C$364,$D$4,Assumptions!$E$41:$E$364,$C13)+IF((Assumptions!$D$25+IF($C13="P001",-SUMIFS(Assumptions!$L$41:$L$364,Assumptions!$C$41:$C$364,$D$4,Assumptions!$E$41:$E$364,$C13)/365*Assumptions!$D$23,0))&gt;0,MIN(O13,(Assumptions!$D$25+IF($C13="P001",-SUMIFS(Assumptions!$L$41:$L$364,Assumptions!$C$41:$C$364,$D$4,Assumptions!$E$41:$E$364,$C13)/365*Assumptions!$D$23,0))),0)</f>
        <v>6.47441478230876</v>
      </c>
      <c r="R13" s="16" t="n">
        <f aca="false">MAX(0,O13+P13-Q13)</f>
        <v>16.9842398339152</v>
      </c>
      <c r="S13" s="16" t="n">
        <f aca="false">(J13+N13+O13+R13)/2</f>
        <v>655.22144722507</v>
      </c>
      <c r="T13" s="16" t="n">
        <f aca="false">IF(Assumptions!$D$19="","",IF(((SUMIFS(Assumptions!$W$41:$W$364,Assumptions!$C$41:$C$364,$D$4,Assumptions!$E$41:$E$364,$C13)+SUMIFS(Assumptions!$AC$41:$AC$364,Assumptions!$C$41:$C$364,$D$4,Assumptions!$E$41:$E$364,$C13)+SUMIFS(Assumptions!$AD$41:$AD$364,Assumptions!$C$41:$C$364,$D$4,Assumptions!$E$41:$E$364,$C13)+SUMIFS(Assumptions!$AG$41:$AG$364,Assumptions!$C$41:$C$364,$D$4,Assumptions!$E$41:$E$364,$C13))/2)=0,0,SUMIFS(Assumptions!$AI$41:$AI$364,Assumptions!$C$41:$C$364,$D$4,Assumptions!$E$41:$E$364,$C13)*S13/((SUMIFS(Assumptions!$W$41:$W$364,Assumptions!$C$41:$C$364,$D$4,Assumptions!$E$41:$E$364,$C13)+SUMIFS(Assumptions!$AC$41:$AC$364,Assumptions!$C$41:$C$364,$D$4,Assumptions!$E$41:$E$364,$C13)+SUMIFS(Assumptions!$AD$41:$AD$364,Assumptions!$C$41:$C$364,$D$4,Assumptions!$E$41:$E$364,$C13)+SUMIFS(Assumptions!$AG$41:$AG$364,Assumptions!$C$41:$C$364,$D$4,Assumptions!$E$41:$E$364,$C13))/2)*(Assumptions!$D$19/6.57%))+Assumptions!$D$20*S13*H13/365)</f>
        <v>3.58733742355825</v>
      </c>
      <c r="U13" s="16" t="n">
        <f aca="false">SUMIFS(Assumptions!$AJ$41:$AJ$364,Assumptions!$C$41:$C$364,$D$4,Assumptions!$E$41:$E$364,$C13)</f>
        <v>0.695916666666667</v>
      </c>
      <c r="V13" s="16" t="n">
        <f aca="false">SUMIFS(Assumptions!$AK$41:$AK$364,Assumptions!$C$41:$C$364,$D$4,Assumptions!$E$41:$E$364,$C13)+SUMIFS(Assumptions!$AL$41:$AL$364,Assumptions!$C$41:$C$364,$D$4,Assumptions!$E$41:$E$364,$C13)</f>
        <v>1.625</v>
      </c>
      <c r="W13" s="16" t="n">
        <f aca="false">W12+(SUMIFS(Assumptions!$V$41:$V$364,Assumptions!$C$41:$C$364,$D$4,Assumptions!$E$41:$E$364,$C13)-SUMIFS(Assumptions!$U$41:$U$364,Assumptions!$C$41:$C$364,$D$4,Assumptions!$E$41:$E$364,$C13))+(Assumptions!$D$25+IF($C13="P001",-SUMIFS(Assumptions!$L$41:$L$364,Assumptions!$C$41:$C$364,$D$4,Assumptions!$E$41:$E$364,$C13)/365*Assumptions!$D$23,0))+(IF((Assumptions!$D$25+IF($C13="P001",-SUMIFS(Assumptions!$L$41:$L$364,Assumptions!$C$41:$C$364,$D$4,Assumptions!$E$41:$E$364,$C13)/365*Assumptions!$D$23,0))&lt;0,MIN(MAX(0,Assumptions!$D$14-Assumptions!$D$16-O13),-(Assumptions!$D$25+IF($C13="P001",-SUMIFS(Assumptions!$L$41:$L$364,Assumptions!$C$41:$C$364,$D$4,Assumptions!$E$41:$E$364,$C13)/365*Assumptions!$D$23,0))),0))-(IF((Assumptions!$D$25+IF($C13="P001",-SUMIFS(Assumptions!$L$41:$L$364,Assumptions!$C$41:$C$364,$D$4,Assumptions!$E$41:$E$364,$C13)/365*Assumptions!$D$23,0))&gt;0,MIN(O13,(Assumptions!$D$25+IF($C13="P001",-SUMIFS(Assumptions!$L$41:$L$364,Assumptions!$C$41:$C$364,$D$4,Assumptions!$E$41:$E$364,$C13)/365*Assumptions!$D$23,0))),0))</f>
        <v>25</v>
      </c>
      <c r="X13" s="16" t="n">
        <f aca="false">N13+R13</f>
        <v>651.984239833915</v>
      </c>
      <c r="Y13" s="16" t="n">
        <f aca="false">Assumptions!$D$17</f>
        <v>62.619</v>
      </c>
      <c r="Z13" s="16" t="n">
        <f aca="false">X13+Y13</f>
        <v>714.603239833915</v>
      </c>
      <c r="AA13" s="16" t="n">
        <f aca="false">MAX(0,Assumptions!$D$14-Assumptions!$D$16-R13)</f>
        <v>276.815760166085</v>
      </c>
      <c r="AB13" s="16" t="n">
        <f aca="false">MAX(0,W13-Assumptions!$D$24)+AA13</f>
        <v>276.815760166085</v>
      </c>
      <c r="AC13" s="16" t="n">
        <f aca="false">SUMIFS(Assumptions!$AM$41:$AM$364,Assumptions!$C$41:$C$364,$D$4,Assumptions!$E$41:$E$364,$C13)+MAX(0,-W13)</f>
        <v>0</v>
      </c>
      <c r="AD13" s="14" t="str">
        <f aca="false">IF(COUNTIFS(Assumptions!$C$41:$C$364,$D$4,Assumptions!$E$41:$E$364,$C13,Assumptions!$AR$41:$AR$364,"*shutoff_active*")&gt;0,"SHUTOFF","AVAILABLE")</f>
        <v>AVAILABLE</v>
      </c>
    </row>
    <row r="14" customFormat="false" ht="15" hidden="false" customHeight="false" outlineLevel="0" collapsed="false">
      <c r="C14" s="14" t="s">
        <v>266</v>
      </c>
      <c r="D14" s="29" t="n">
        <v>46142</v>
      </c>
      <c r="E14" s="14" t="s">
        <v>253</v>
      </c>
      <c r="F14" s="14" t="s">
        <v>254</v>
      </c>
      <c r="G14" s="14" t="s">
        <v>255</v>
      </c>
      <c r="H14" s="14" t="n">
        <v>30</v>
      </c>
      <c r="I14" s="16" t="n">
        <f aca="false">SUMIFS(Assumptions!$T$41:$T$364,Assumptions!$C$41:$C$364,$D$4,Assumptions!$E$41:$E$364,$C14)+(Assumptions!$D$25+IF($C14="P001",-SUMIFS(Assumptions!$L$41:$L$364,Assumptions!$C$41:$C$364,$D$4,Assumptions!$E$41:$E$364,$C14)/365*Assumptions!$D$23,0))</f>
        <v>12.3826688725337</v>
      </c>
      <c r="J14" s="16" t="n">
        <f aca="false">N13</f>
        <v>635</v>
      </c>
      <c r="K14" s="16" t="n">
        <f aca="false">SUMIFS(Assumptions!$Y$41:$Y$364,Assumptions!$C$41:$C$364,$D$4,Assumptions!$E$41:$E$364,$C14)*(Assumptions!$D$12/635)*(Assumptions!$D$18/7.5%)</f>
        <v>11.90625</v>
      </c>
      <c r="L14" s="16" t="n">
        <f aca="false">SUMIFS(Assumptions!$Z$41:$Z$364,Assumptions!$C$41:$C$364,$D$4,Assumptions!$E$41:$E$364,$C14)*(Assumptions!$D$26/50%)*IF(SUMIFS(Assumptions!$AO$41:$AO$364,Assumptions!$C$41:$C$364,$D$4,Assumptions!$E$41:$E$364,$C14)&gt;Assumptions!$D$24,1,0)</f>
        <v>0</v>
      </c>
      <c r="M14" s="16" t="n">
        <f aca="false">SUMIFS(Assumptions!$AB$41:$AB$364,Assumptions!$C$41:$C$364,$D$4,Assumptions!$E$41:$E$364,$C14)</f>
        <v>0</v>
      </c>
      <c r="N14" s="16" t="n">
        <f aca="false">MAX(0,J14-K14-L14-M14)</f>
        <v>623.09375</v>
      </c>
      <c r="O14" s="16" t="n">
        <f aca="false">R13</f>
        <v>16.9842398339152</v>
      </c>
      <c r="P14" s="16" t="n">
        <f aca="false">SUMIFS(Assumptions!$AE$41:$AE$364,Assumptions!$C$41:$C$364,$D$4,Assumptions!$E$41:$E$364,$C14)+IF((Assumptions!$D$25+IF($C14="P001",-SUMIFS(Assumptions!$L$41:$L$364,Assumptions!$C$41:$C$364,$D$4,Assumptions!$E$41:$E$364,$C14)/365*Assumptions!$D$23,0))&lt;0,MIN(MAX(0,Assumptions!$D$14-Assumptions!$D$16-O14),-(Assumptions!$D$25+IF($C14="P001",-SUMIFS(Assumptions!$L$41:$L$364,Assumptions!$C$41:$C$364,$D$4,Assumptions!$E$41:$E$364,$C14)/365*Assumptions!$D$23,0))),0)</f>
        <v>5.39629049307264</v>
      </c>
      <c r="Q14" s="16" t="n">
        <f aca="false">SUMIFS(Assumptions!$AF$41:$AF$364,Assumptions!$C$41:$C$364,$D$4,Assumptions!$E$41:$E$364,$C14)+IF((Assumptions!$D$25+IF($C14="P001",-SUMIFS(Assumptions!$L$41:$L$364,Assumptions!$C$41:$C$364,$D$4,Assumptions!$E$41:$E$364,$C14)/365*Assumptions!$D$23,0))&gt;0,MIN(O14,(Assumptions!$D$25+IF($C14="P001",-SUMIFS(Assumptions!$L$41:$L$364,Assumptions!$C$41:$C$364,$D$4,Assumptions!$E$41:$E$364,$C14)/365*Assumptions!$D$23,0))),0)</f>
        <v>0</v>
      </c>
      <c r="R14" s="16" t="n">
        <f aca="false">MAX(0,O14+P14-Q14)</f>
        <v>22.3805303269879</v>
      </c>
      <c r="S14" s="16" t="n">
        <f aca="false">(J14+N14+O14+R14)/2</f>
        <v>648.729260080452</v>
      </c>
      <c r="T14" s="16" t="n">
        <f aca="false">IF(Assumptions!$D$19="","",IF(((SUMIFS(Assumptions!$W$41:$W$364,Assumptions!$C$41:$C$364,$D$4,Assumptions!$E$41:$E$364,$C14)+SUMIFS(Assumptions!$AC$41:$AC$364,Assumptions!$C$41:$C$364,$D$4,Assumptions!$E$41:$E$364,$C14)+SUMIFS(Assumptions!$AD$41:$AD$364,Assumptions!$C$41:$C$364,$D$4,Assumptions!$E$41:$E$364,$C14)+SUMIFS(Assumptions!$AG$41:$AG$364,Assumptions!$C$41:$C$364,$D$4,Assumptions!$E$41:$E$364,$C14))/2)=0,0,SUMIFS(Assumptions!$AI$41:$AI$364,Assumptions!$C$41:$C$364,$D$4,Assumptions!$E$41:$E$364,$C14)*S14/((SUMIFS(Assumptions!$W$41:$W$364,Assumptions!$C$41:$C$364,$D$4,Assumptions!$E$41:$E$364,$C14)+SUMIFS(Assumptions!$AC$41:$AC$364,Assumptions!$C$41:$C$364,$D$4,Assumptions!$E$41:$E$364,$C14)+SUMIFS(Assumptions!$AD$41:$AD$364,Assumptions!$C$41:$C$364,$D$4,Assumptions!$E$41:$E$364,$C14)+SUMIFS(Assumptions!$AG$41:$AG$364,Assumptions!$C$41:$C$364,$D$4,Assumptions!$E$41:$E$364,$C14))/2)*(Assumptions!$D$19/6.57%))+Assumptions!$D$20*S14*H14/365)</f>
        <v>3.55179269893965</v>
      </c>
      <c r="U14" s="16" t="n">
        <f aca="false">SUMIFS(Assumptions!$AJ$41:$AJ$364,Assumptions!$C$41:$C$364,$D$4,Assumptions!$E$41:$E$364,$C14)</f>
        <v>0.695916666666667</v>
      </c>
      <c r="V14" s="16" t="n">
        <f aca="false">SUMIFS(Assumptions!$AK$41:$AK$364,Assumptions!$C$41:$C$364,$D$4,Assumptions!$E$41:$E$364,$C14)+SUMIFS(Assumptions!$AL$41:$AL$364,Assumptions!$C$41:$C$364,$D$4,Assumptions!$E$41:$E$364,$C14)</f>
        <v>1.625</v>
      </c>
      <c r="W14" s="16" t="n">
        <f aca="false">W13+(SUMIFS(Assumptions!$V$41:$V$364,Assumptions!$C$41:$C$364,$D$4,Assumptions!$E$41:$E$364,$C14)-SUMIFS(Assumptions!$U$41:$U$364,Assumptions!$C$41:$C$364,$D$4,Assumptions!$E$41:$E$364,$C14))+(Assumptions!$D$25+IF($C14="P001",-SUMIFS(Assumptions!$L$41:$L$364,Assumptions!$C$41:$C$364,$D$4,Assumptions!$E$41:$E$364,$C14)/365*Assumptions!$D$23,0))+(IF((Assumptions!$D$25+IF($C14="P001",-SUMIFS(Assumptions!$L$41:$L$364,Assumptions!$C$41:$C$364,$D$4,Assumptions!$E$41:$E$364,$C14)/365*Assumptions!$D$23,0))&lt;0,MIN(MAX(0,Assumptions!$D$14-Assumptions!$D$16-O14),-(Assumptions!$D$25+IF($C14="P001",-SUMIFS(Assumptions!$L$41:$L$364,Assumptions!$C$41:$C$364,$D$4,Assumptions!$E$41:$E$364,$C14)/365*Assumptions!$D$23,0))),0))-(IF((Assumptions!$D$25+IF($C14="P001",-SUMIFS(Assumptions!$L$41:$L$364,Assumptions!$C$41:$C$364,$D$4,Assumptions!$E$41:$E$364,$C14)/365*Assumptions!$D$23,0))&gt;0,MIN(O14,(Assumptions!$D$25+IF($C14="P001",-SUMIFS(Assumptions!$L$41:$L$364,Assumptions!$C$41:$C$364,$D$4,Assumptions!$E$41:$E$364,$C14)/365*Assumptions!$D$23,0))),0))</f>
        <v>25</v>
      </c>
      <c r="X14" s="16" t="n">
        <f aca="false">N14+R14</f>
        <v>645.474280326988</v>
      </c>
      <c r="Y14" s="16" t="n">
        <f aca="false">Assumptions!$D$17</f>
        <v>62.619</v>
      </c>
      <c r="Z14" s="16" t="n">
        <f aca="false">X14+Y14</f>
        <v>708.093280326988</v>
      </c>
      <c r="AA14" s="16" t="n">
        <f aca="false">MAX(0,Assumptions!$D$14-Assumptions!$D$16-R14)</f>
        <v>271.419469673012</v>
      </c>
      <c r="AB14" s="16" t="n">
        <f aca="false">MAX(0,W14-Assumptions!$D$24)+AA14</f>
        <v>271.419469673012</v>
      </c>
      <c r="AC14" s="16" t="n">
        <f aca="false">SUMIFS(Assumptions!$AM$41:$AM$364,Assumptions!$C$41:$C$364,$D$4,Assumptions!$E$41:$E$364,$C14)+MAX(0,-W14)</f>
        <v>0</v>
      </c>
      <c r="AD14" s="14" t="str">
        <f aca="false">IF(COUNTIFS(Assumptions!$C$41:$C$364,$D$4,Assumptions!$E$41:$E$364,$C14,Assumptions!$AR$41:$AR$364,"*shutoff_active*")&gt;0,"SHUTOFF","AVAILABLE")</f>
        <v>AVAILABLE</v>
      </c>
    </row>
    <row r="15" customFormat="false" ht="15" hidden="false" customHeight="false" outlineLevel="0" collapsed="false">
      <c r="C15" s="14" t="s">
        <v>270</v>
      </c>
      <c r="D15" s="29" t="n">
        <v>46173</v>
      </c>
      <c r="E15" s="14" t="s">
        <v>253</v>
      </c>
      <c r="F15" s="14" t="s">
        <v>254</v>
      </c>
      <c r="G15" s="14" t="s">
        <v>271</v>
      </c>
      <c r="H15" s="14" t="n">
        <v>31</v>
      </c>
      <c r="I15" s="16" t="n">
        <f aca="false">SUMIFS(Assumptions!$T$41:$T$364,Assumptions!$C$41:$C$364,$D$4,Assumptions!$E$41:$E$364,$C15)+(Assumptions!$D$25+IF($C15="P001",-SUMIFS(Assumptions!$L$41:$L$364,Assumptions!$C$41:$C$364,$D$4,Assumptions!$E$41:$E$364,$C15)/365*Assumptions!$D$23,0))</f>
        <v>12.349254204762</v>
      </c>
      <c r="J15" s="16" t="n">
        <f aca="false">N14</f>
        <v>623.09375</v>
      </c>
      <c r="K15" s="16" t="n">
        <f aca="false">SUMIFS(Assumptions!$Y$41:$Y$364,Assumptions!$C$41:$C$364,$D$4,Assumptions!$E$41:$E$364,$C15)*(Assumptions!$D$12/635)*(Assumptions!$D$18/7.5%)</f>
        <v>0</v>
      </c>
      <c r="L15" s="16" t="n">
        <f aca="false">SUMIFS(Assumptions!$Z$41:$Z$364,Assumptions!$C$41:$C$364,$D$4,Assumptions!$E$41:$E$364,$C15)*(Assumptions!$D$26/50%)*IF(SUMIFS(Assumptions!$AO$41:$AO$364,Assumptions!$C$41:$C$364,$D$4,Assumptions!$E$41:$E$364,$C15)&gt;Assumptions!$D$24,1,0)</f>
        <v>0</v>
      </c>
      <c r="M15" s="16" t="n">
        <f aca="false">SUMIFS(Assumptions!$AB$41:$AB$364,Assumptions!$C$41:$C$364,$D$4,Assumptions!$E$41:$E$364,$C15)</f>
        <v>0</v>
      </c>
      <c r="N15" s="16" t="n">
        <f aca="false">MAX(0,J15-K15-L15-M15)</f>
        <v>623.09375</v>
      </c>
      <c r="O15" s="16" t="n">
        <f aca="false">R14</f>
        <v>22.3805303269879</v>
      </c>
      <c r="P15" s="16" t="n">
        <f aca="false">SUMIFS(Assumptions!$AE$41:$AE$364,Assumptions!$C$41:$C$364,$D$4,Assumptions!$E$41:$E$364,$C15)+IF((Assumptions!$D$25+IF($C15="P001",-SUMIFS(Assumptions!$L$41:$L$364,Assumptions!$C$41:$C$364,$D$4,Assumptions!$E$41:$E$364,$C15)/365*Assumptions!$D$23,0))&lt;0,MIN(MAX(0,Assumptions!$D$14-Assumptions!$D$16-O15),-(Assumptions!$D$25+IF($C15="P001",-SUMIFS(Assumptions!$L$41:$L$364,Assumptions!$C$41:$C$364,$D$4,Assumptions!$E$41:$E$364,$C15)/365*Assumptions!$D$23,0))),0)</f>
        <v>0</v>
      </c>
      <c r="Q15" s="16" t="n">
        <f aca="false">SUMIFS(Assumptions!$AF$41:$AF$364,Assumptions!$C$41:$C$364,$D$4,Assumptions!$E$41:$E$364,$C15)+IF((Assumptions!$D$25+IF($C15="P001",-SUMIFS(Assumptions!$L$41:$L$364,Assumptions!$C$41:$C$364,$D$4,Assumptions!$E$41:$E$364,$C15)/365*Assumptions!$D$23,0))&gt;0,MIN(O15,(Assumptions!$D$25+IF($C15="P001",-SUMIFS(Assumptions!$L$41:$L$364,Assumptions!$C$41:$C$364,$D$4,Assumptions!$E$41:$E$364,$C15)/365*Assumptions!$D$23,0))),0)</f>
        <v>6.5121929815912</v>
      </c>
      <c r="R15" s="16" t="n">
        <f aca="false">MAX(0,O15+P15-Q15)</f>
        <v>15.8683373453967</v>
      </c>
      <c r="S15" s="16" t="n">
        <f aca="false">(J15+N15+O15+R15)/2</f>
        <v>642.218183836192</v>
      </c>
      <c r="T15" s="16" t="n">
        <f aca="false">IF(Assumptions!$D$19="","",IF(((SUMIFS(Assumptions!$W$41:$W$364,Assumptions!$C$41:$C$364,$D$4,Assumptions!$E$41:$E$364,$C15)+SUMIFS(Assumptions!$AC$41:$AC$364,Assumptions!$C$41:$C$364,$D$4,Assumptions!$E$41:$E$364,$C15)+SUMIFS(Assumptions!$AD$41:$AD$364,Assumptions!$C$41:$C$364,$D$4,Assumptions!$E$41:$E$364,$C15)+SUMIFS(Assumptions!$AG$41:$AG$364,Assumptions!$C$41:$C$364,$D$4,Assumptions!$E$41:$E$364,$C15))/2)=0,0,SUMIFS(Assumptions!$AI$41:$AI$364,Assumptions!$C$41:$C$364,$D$4,Assumptions!$E$41:$E$364,$C15)*S15/((SUMIFS(Assumptions!$W$41:$W$364,Assumptions!$C$41:$C$364,$D$4,Assumptions!$E$41:$E$364,$C15)+SUMIFS(Assumptions!$AC$41:$AC$364,Assumptions!$C$41:$C$364,$D$4,Assumptions!$E$41:$E$364,$C15)+SUMIFS(Assumptions!$AD$41:$AD$364,Assumptions!$C$41:$C$364,$D$4,Assumptions!$E$41:$E$364,$C15)+SUMIFS(Assumptions!$AG$41:$AG$364,Assumptions!$C$41:$C$364,$D$4,Assumptions!$E$41:$E$364,$C15))/2)*(Assumptions!$D$19/6.57%))+Assumptions!$D$20*S15*H15/365)</f>
        <v>3.51614455650415</v>
      </c>
      <c r="U15" s="16" t="n">
        <f aca="false">SUMIFS(Assumptions!$AJ$41:$AJ$364,Assumptions!$C$41:$C$364,$D$4,Assumptions!$E$41:$E$364,$C15)</f>
        <v>0.695916666666667</v>
      </c>
      <c r="V15" s="16" t="n">
        <f aca="false">SUMIFS(Assumptions!$AK$41:$AK$364,Assumptions!$C$41:$C$364,$D$4,Assumptions!$E$41:$E$364,$C15)+SUMIFS(Assumptions!$AL$41:$AL$364,Assumptions!$C$41:$C$364,$D$4,Assumptions!$E$41:$E$364,$C15)</f>
        <v>1.625</v>
      </c>
      <c r="W15" s="16" t="n">
        <f aca="false">W14+(SUMIFS(Assumptions!$V$41:$V$364,Assumptions!$C$41:$C$364,$D$4,Assumptions!$E$41:$E$364,$C15)-SUMIFS(Assumptions!$U$41:$U$364,Assumptions!$C$41:$C$364,$D$4,Assumptions!$E$41:$E$364,$C15))+(Assumptions!$D$25+IF($C15="P001",-SUMIFS(Assumptions!$L$41:$L$364,Assumptions!$C$41:$C$364,$D$4,Assumptions!$E$41:$E$364,$C15)/365*Assumptions!$D$23,0))+(IF((Assumptions!$D$25+IF($C15="P001",-SUMIFS(Assumptions!$L$41:$L$364,Assumptions!$C$41:$C$364,$D$4,Assumptions!$E$41:$E$364,$C15)/365*Assumptions!$D$23,0))&lt;0,MIN(MAX(0,Assumptions!$D$14-Assumptions!$D$16-O15),-(Assumptions!$D$25+IF($C15="P001",-SUMIFS(Assumptions!$L$41:$L$364,Assumptions!$C$41:$C$364,$D$4,Assumptions!$E$41:$E$364,$C15)/365*Assumptions!$D$23,0))),0))-(IF((Assumptions!$D$25+IF($C15="P001",-SUMIFS(Assumptions!$L$41:$L$364,Assumptions!$C$41:$C$364,$D$4,Assumptions!$E$41:$E$364,$C15)/365*Assumptions!$D$23,0))&gt;0,MIN(O15,(Assumptions!$D$25+IF($C15="P001",-SUMIFS(Assumptions!$L$41:$L$364,Assumptions!$C$41:$C$364,$D$4,Assumptions!$E$41:$E$364,$C15)/365*Assumptions!$D$23,0))),0))</f>
        <v>25</v>
      </c>
      <c r="X15" s="16" t="n">
        <f aca="false">N15+R15</f>
        <v>638.962087345397</v>
      </c>
      <c r="Y15" s="16" t="n">
        <f aca="false">Assumptions!$D$17</f>
        <v>62.619</v>
      </c>
      <c r="Z15" s="16" t="n">
        <f aca="false">X15+Y15</f>
        <v>701.581087345397</v>
      </c>
      <c r="AA15" s="16" t="n">
        <f aca="false">MAX(0,Assumptions!$D$14-Assumptions!$D$16-R15)</f>
        <v>277.931662654603</v>
      </c>
      <c r="AB15" s="16" t="n">
        <f aca="false">MAX(0,W15-Assumptions!$D$24)+AA15</f>
        <v>277.931662654603</v>
      </c>
      <c r="AC15" s="16" t="n">
        <f aca="false">SUMIFS(Assumptions!$AM$41:$AM$364,Assumptions!$C$41:$C$364,$D$4,Assumptions!$E$41:$E$364,$C15)+MAX(0,-W15)</f>
        <v>0</v>
      </c>
      <c r="AD15" s="14" t="str">
        <f aca="false">IF(COUNTIFS(Assumptions!$C$41:$C$364,$D$4,Assumptions!$E$41:$E$364,$C15,Assumptions!$AR$41:$AR$364,"*shutoff_active*")&gt;0,"SHUTOFF","AVAILABLE")</f>
        <v>AVAILABLE</v>
      </c>
    </row>
    <row r="16" customFormat="false" ht="15" hidden="false" customHeight="false" outlineLevel="0" collapsed="false">
      <c r="C16" s="14" t="s">
        <v>277</v>
      </c>
      <c r="D16" s="29" t="n">
        <v>46203</v>
      </c>
      <c r="E16" s="14" t="s">
        <v>253</v>
      </c>
      <c r="F16" s="14" t="s">
        <v>254</v>
      </c>
      <c r="G16" s="14" t="s">
        <v>271</v>
      </c>
      <c r="H16" s="14" t="n">
        <v>30</v>
      </c>
      <c r="I16" s="16" t="n">
        <f aca="false">SUMIFS(Assumptions!$T$41:$T$364,Assumptions!$C$41:$C$364,$D$4,Assumptions!$E$41:$E$364,$C16)+(Assumptions!$D$25+IF($C16="P001",-SUMIFS(Assumptions!$L$41:$L$364,Assumptions!$C$41:$C$364,$D$4,Assumptions!$E$41:$E$364,$C16)/365*Assumptions!$D$23,0))</f>
        <v>12.349254204762</v>
      </c>
      <c r="J16" s="16" t="n">
        <f aca="false">N15</f>
        <v>623.09375</v>
      </c>
      <c r="K16" s="16" t="n">
        <f aca="false">SUMIFS(Assumptions!$Y$41:$Y$364,Assumptions!$C$41:$C$364,$D$4,Assumptions!$E$41:$E$364,$C16)*(Assumptions!$D$12/635)*(Assumptions!$D$18/7.5%)</f>
        <v>0</v>
      </c>
      <c r="L16" s="16" t="n">
        <f aca="false">SUMIFS(Assumptions!$Z$41:$Z$364,Assumptions!$C$41:$C$364,$D$4,Assumptions!$E$41:$E$364,$C16)*(Assumptions!$D$26/50%)*IF(SUMIFS(Assumptions!$AO$41:$AO$364,Assumptions!$C$41:$C$364,$D$4,Assumptions!$E$41:$E$364,$C16)&gt;Assumptions!$D$24,1,0)</f>
        <v>0</v>
      </c>
      <c r="M16" s="16" t="n">
        <f aca="false">SUMIFS(Assumptions!$AB$41:$AB$364,Assumptions!$C$41:$C$364,$D$4,Assumptions!$E$41:$E$364,$C16)</f>
        <v>0</v>
      </c>
      <c r="N16" s="16" t="n">
        <f aca="false">MAX(0,J16-K16-L16-M16)</f>
        <v>623.09375</v>
      </c>
      <c r="O16" s="16" t="n">
        <f aca="false">R15</f>
        <v>15.8683373453967</v>
      </c>
      <c r="P16" s="16" t="n">
        <f aca="false">SUMIFS(Assumptions!$AE$41:$AE$364,Assumptions!$C$41:$C$364,$D$4,Assumptions!$E$41:$E$364,$C16)+IF((Assumptions!$D$25+IF($C16="P001",-SUMIFS(Assumptions!$L$41:$L$364,Assumptions!$C$41:$C$364,$D$4,Assumptions!$E$41:$E$364,$C16)/365*Assumptions!$D$23,0))&lt;0,MIN(MAX(0,Assumptions!$D$14-Assumptions!$D$16-O16),-(Assumptions!$D$25+IF($C16="P001",-SUMIFS(Assumptions!$L$41:$L$364,Assumptions!$C$41:$C$364,$D$4,Assumptions!$E$41:$E$364,$C16)/365*Assumptions!$D$23,0))),0)</f>
        <v>0</v>
      </c>
      <c r="Q16" s="16" t="n">
        <f aca="false">SUMIFS(Assumptions!$AF$41:$AF$364,Assumptions!$C$41:$C$364,$D$4,Assumptions!$E$41:$E$364,$C16)+IF((Assumptions!$D$25+IF($C16="P001",-SUMIFS(Assumptions!$L$41:$L$364,Assumptions!$C$41:$C$364,$D$4,Assumptions!$E$41:$E$364,$C16)/365*Assumptions!$D$23,0))&gt;0,MIN(O16,(Assumptions!$D$25+IF($C16="P001",-SUMIFS(Assumptions!$L$41:$L$364,Assumptions!$C$41:$C$364,$D$4,Assumptions!$E$41:$E$364,$C16)/365*Assumptions!$D$23,0))),0)</f>
        <v>6.54794510961587</v>
      </c>
      <c r="R16" s="16" t="n">
        <f aca="false">MAX(0,O16+P16-Q16)</f>
        <v>9.32039223578079</v>
      </c>
      <c r="S16" s="16" t="n">
        <f aca="false">(J16+N16+O16+R16)/2</f>
        <v>635.688114790589</v>
      </c>
      <c r="T16" s="16" t="n">
        <f aca="false">IF(Assumptions!$D$19="","",IF(((SUMIFS(Assumptions!$W$41:$W$364,Assumptions!$C$41:$C$364,$D$4,Assumptions!$E$41:$E$364,$C16)+SUMIFS(Assumptions!$AC$41:$AC$364,Assumptions!$C$41:$C$364,$D$4,Assumptions!$E$41:$E$364,$C16)+SUMIFS(Assumptions!$AD$41:$AD$364,Assumptions!$C$41:$C$364,$D$4,Assumptions!$E$41:$E$364,$C16)+SUMIFS(Assumptions!$AG$41:$AG$364,Assumptions!$C$41:$C$364,$D$4,Assumptions!$E$41:$E$364,$C16))/2)=0,0,SUMIFS(Assumptions!$AI$41:$AI$364,Assumptions!$C$41:$C$364,$D$4,Assumptions!$E$41:$E$364,$C16)*S16/((SUMIFS(Assumptions!$W$41:$W$364,Assumptions!$C$41:$C$364,$D$4,Assumptions!$E$41:$E$364,$C16)+SUMIFS(Assumptions!$AC$41:$AC$364,Assumptions!$C$41:$C$364,$D$4,Assumptions!$E$41:$E$364,$C16)+SUMIFS(Assumptions!$AD$41:$AD$364,Assumptions!$C$41:$C$364,$D$4,Assumptions!$E$41:$E$364,$C16)+SUMIFS(Assumptions!$AG$41:$AG$364,Assumptions!$C$41:$C$364,$D$4,Assumptions!$E$41:$E$364,$C16))/2)*(Assumptions!$D$19/6.57%))+Assumptions!$D$20*S16*H16/365)</f>
        <v>3.48039242847948</v>
      </c>
      <c r="U16" s="16" t="n">
        <f aca="false">SUMIFS(Assumptions!$AJ$41:$AJ$364,Assumptions!$C$41:$C$364,$D$4,Assumptions!$E$41:$E$364,$C16)</f>
        <v>0.695916666666667</v>
      </c>
      <c r="V16" s="16" t="n">
        <f aca="false">SUMIFS(Assumptions!$AK$41:$AK$364,Assumptions!$C$41:$C$364,$D$4,Assumptions!$E$41:$E$364,$C16)+SUMIFS(Assumptions!$AL$41:$AL$364,Assumptions!$C$41:$C$364,$D$4,Assumptions!$E$41:$E$364,$C16)</f>
        <v>1.625</v>
      </c>
      <c r="W16" s="16" t="n">
        <f aca="false">W15+(SUMIFS(Assumptions!$V$41:$V$364,Assumptions!$C$41:$C$364,$D$4,Assumptions!$E$41:$E$364,$C16)-SUMIFS(Assumptions!$U$41:$U$364,Assumptions!$C$41:$C$364,$D$4,Assumptions!$E$41:$E$364,$C16))+(Assumptions!$D$25+IF($C16="P001",-SUMIFS(Assumptions!$L$41:$L$364,Assumptions!$C$41:$C$364,$D$4,Assumptions!$E$41:$E$364,$C16)/365*Assumptions!$D$23,0))+(IF((Assumptions!$D$25+IF($C16="P001",-SUMIFS(Assumptions!$L$41:$L$364,Assumptions!$C$41:$C$364,$D$4,Assumptions!$E$41:$E$364,$C16)/365*Assumptions!$D$23,0))&lt;0,MIN(MAX(0,Assumptions!$D$14-Assumptions!$D$16-O16),-(Assumptions!$D$25+IF($C16="P001",-SUMIFS(Assumptions!$L$41:$L$364,Assumptions!$C$41:$C$364,$D$4,Assumptions!$E$41:$E$364,$C16)/365*Assumptions!$D$23,0))),0))-(IF((Assumptions!$D$25+IF($C16="P001",-SUMIFS(Assumptions!$L$41:$L$364,Assumptions!$C$41:$C$364,$D$4,Assumptions!$E$41:$E$364,$C16)/365*Assumptions!$D$23,0))&gt;0,MIN(O16,(Assumptions!$D$25+IF($C16="P001",-SUMIFS(Assumptions!$L$41:$L$364,Assumptions!$C$41:$C$364,$D$4,Assumptions!$E$41:$E$364,$C16)/365*Assumptions!$D$23,0))),0))</f>
        <v>25</v>
      </c>
      <c r="X16" s="16" t="n">
        <f aca="false">N16+R16</f>
        <v>632.414142235781</v>
      </c>
      <c r="Y16" s="16" t="n">
        <f aca="false">Assumptions!$D$17</f>
        <v>62.619</v>
      </c>
      <c r="Z16" s="16" t="n">
        <f aca="false">X16+Y16</f>
        <v>695.033142235781</v>
      </c>
      <c r="AA16" s="16" t="n">
        <f aca="false">MAX(0,Assumptions!$D$14-Assumptions!$D$16-R16)</f>
        <v>284.479607764219</v>
      </c>
      <c r="AB16" s="16" t="n">
        <f aca="false">MAX(0,W16-Assumptions!$D$24)+AA16</f>
        <v>284.479607764219</v>
      </c>
      <c r="AC16" s="16" t="n">
        <f aca="false">SUMIFS(Assumptions!$AM$41:$AM$364,Assumptions!$C$41:$C$364,$D$4,Assumptions!$E$41:$E$364,$C16)+MAX(0,-W16)</f>
        <v>0</v>
      </c>
      <c r="AD16" s="14" t="str">
        <f aca="false">IF(COUNTIFS(Assumptions!$C$41:$C$364,$D$4,Assumptions!$E$41:$E$364,$C16,Assumptions!$AR$41:$AR$364,"*shutoff_active*")&gt;0,"SHUTOFF","AVAILABLE")</f>
        <v>AVAILABLE</v>
      </c>
    </row>
    <row r="17" customFormat="false" ht="15" hidden="false" customHeight="false" outlineLevel="0" collapsed="false">
      <c r="C17" s="14" t="s">
        <v>282</v>
      </c>
      <c r="D17" s="29" t="n">
        <v>46234</v>
      </c>
      <c r="E17" s="14" t="s">
        <v>253</v>
      </c>
      <c r="F17" s="14" t="s">
        <v>254</v>
      </c>
      <c r="G17" s="14" t="s">
        <v>271</v>
      </c>
      <c r="H17" s="14" t="n">
        <v>31</v>
      </c>
      <c r="I17" s="16" t="n">
        <f aca="false">SUMIFS(Assumptions!$T$41:$T$364,Assumptions!$C$41:$C$364,$D$4,Assumptions!$E$41:$E$364,$C17)+(Assumptions!$D$25+IF($C17="P001",-SUMIFS(Assumptions!$L$41:$L$364,Assumptions!$C$41:$C$364,$D$4,Assumptions!$E$41:$E$364,$C17)/365*Assumptions!$D$23,0))</f>
        <v>12.349254204762</v>
      </c>
      <c r="J17" s="16" t="n">
        <f aca="false">N16</f>
        <v>623.09375</v>
      </c>
      <c r="K17" s="16" t="n">
        <f aca="false">SUMIFS(Assumptions!$Y$41:$Y$364,Assumptions!$C$41:$C$364,$D$4,Assumptions!$E$41:$E$364,$C17)*(Assumptions!$D$12/635)*(Assumptions!$D$18/7.5%)</f>
        <v>11.90625</v>
      </c>
      <c r="L17" s="16" t="n">
        <f aca="false">SUMIFS(Assumptions!$Z$41:$Z$364,Assumptions!$C$41:$C$364,$D$4,Assumptions!$E$41:$E$364,$C17)*(Assumptions!$D$26/50%)*IF(SUMIFS(Assumptions!$AO$41:$AO$364,Assumptions!$C$41:$C$364,$D$4,Assumptions!$E$41:$E$364,$C17)&gt;Assumptions!$D$24,1,0)</f>
        <v>0</v>
      </c>
      <c r="M17" s="16" t="n">
        <f aca="false">SUMIFS(Assumptions!$AB$41:$AB$364,Assumptions!$C$41:$C$364,$D$4,Assumptions!$E$41:$E$364,$C17)</f>
        <v>0</v>
      </c>
      <c r="N17" s="16" t="n">
        <f aca="false">MAX(0,J17-K17-L17-M17)</f>
        <v>611.1875</v>
      </c>
      <c r="O17" s="16" t="n">
        <f aca="false">R16</f>
        <v>9.32039223578079</v>
      </c>
      <c r="P17" s="16" t="n">
        <f aca="false">SUMIFS(Assumptions!$AE$41:$AE$364,Assumptions!$C$41:$C$364,$D$4,Assumptions!$E$41:$E$364,$C17)+IF((Assumptions!$D$25+IF($C17="P001",-SUMIFS(Assumptions!$L$41:$L$364,Assumptions!$C$41:$C$364,$D$4,Assumptions!$E$41:$E$364,$C17)/365*Assumptions!$D$23,0))&lt;0,MIN(MAX(0,Assumptions!$D$14-Assumptions!$D$16-O17),-(Assumptions!$D$25+IF($C17="P001",-SUMIFS(Assumptions!$L$41:$L$364,Assumptions!$C$41:$C$364,$D$4,Assumptions!$E$41:$E$364,$C17)/365*Assumptions!$D$23,0))),0)</f>
        <v>5.32235648213959</v>
      </c>
      <c r="Q17" s="16" t="n">
        <f aca="false">SUMIFS(Assumptions!$AF$41:$AF$364,Assumptions!$C$41:$C$364,$D$4,Assumptions!$E$41:$E$364,$C17)+IF((Assumptions!$D$25+IF($C17="P001",-SUMIFS(Assumptions!$L$41:$L$364,Assumptions!$C$41:$C$364,$D$4,Assumptions!$E$41:$E$364,$C17)/365*Assumptions!$D$23,0))&gt;0,MIN(O17,(Assumptions!$D$25+IF($C17="P001",-SUMIFS(Assumptions!$L$41:$L$364,Assumptions!$C$41:$C$364,$D$4,Assumptions!$E$41:$E$364,$C17)/365*Assumptions!$D$23,0))),0)</f>
        <v>0</v>
      </c>
      <c r="R17" s="16" t="n">
        <f aca="false">MAX(0,O17+P17-Q17)</f>
        <v>14.6427487179204</v>
      </c>
      <c r="S17" s="16" t="n">
        <f aca="false">(J17+N17+O17+R17)/2</f>
        <v>629.122195476851</v>
      </c>
      <c r="T17" s="16" t="n">
        <f aca="false">IF(Assumptions!$D$19="","",IF(((SUMIFS(Assumptions!$W$41:$W$364,Assumptions!$C$41:$C$364,$D$4,Assumptions!$E$41:$E$364,$C17)+SUMIFS(Assumptions!$AC$41:$AC$364,Assumptions!$C$41:$C$364,$D$4,Assumptions!$E$41:$E$364,$C17)+SUMIFS(Assumptions!$AD$41:$AD$364,Assumptions!$C$41:$C$364,$D$4,Assumptions!$E$41:$E$364,$C17)+SUMIFS(Assumptions!$AG$41:$AG$364,Assumptions!$C$41:$C$364,$D$4,Assumptions!$E$41:$E$364,$C17))/2)=0,0,SUMIFS(Assumptions!$AI$41:$AI$364,Assumptions!$C$41:$C$364,$D$4,Assumptions!$E$41:$E$364,$C17)*S17/((SUMIFS(Assumptions!$W$41:$W$364,Assumptions!$C$41:$C$364,$D$4,Assumptions!$E$41:$E$364,$C17)+SUMIFS(Assumptions!$AC$41:$AC$364,Assumptions!$C$41:$C$364,$D$4,Assumptions!$E$41:$E$364,$C17)+SUMIFS(Assumptions!$AD$41:$AD$364,Assumptions!$C$41:$C$364,$D$4,Assumptions!$E$41:$E$364,$C17)+SUMIFS(Assumptions!$AG$41:$AG$364,Assumptions!$C$41:$C$364,$D$4,Assumptions!$E$41:$E$364,$C17))/2)*(Assumptions!$D$19/6.57%))+Assumptions!$D$20*S17*H17/365)</f>
        <v>3.44444402023494</v>
      </c>
      <c r="U17" s="16" t="n">
        <f aca="false">SUMIFS(Assumptions!$AJ$41:$AJ$364,Assumptions!$C$41:$C$364,$D$4,Assumptions!$E$41:$E$364,$C17)</f>
        <v>0.695916666666667</v>
      </c>
      <c r="V17" s="16" t="n">
        <f aca="false">SUMIFS(Assumptions!$AK$41:$AK$364,Assumptions!$C$41:$C$364,$D$4,Assumptions!$E$41:$E$364,$C17)+SUMIFS(Assumptions!$AL$41:$AL$364,Assumptions!$C$41:$C$364,$D$4,Assumptions!$E$41:$E$364,$C17)</f>
        <v>1.625</v>
      </c>
      <c r="W17" s="16" t="n">
        <f aca="false">W16+(SUMIFS(Assumptions!$V$41:$V$364,Assumptions!$C$41:$C$364,$D$4,Assumptions!$E$41:$E$364,$C17)-SUMIFS(Assumptions!$U$41:$U$364,Assumptions!$C$41:$C$364,$D$4,Assumptions!$E$41:$E$364,$C17))+(Assumptions!$D$25+IF($C17="P001",-SUMIFS(Assumptions!$L$41:$L$364,Assumptions!$C$41:$C$364,$D$4,Assumptions!$E$41:$E$364,$C17)/365*Assumptions!$D$23,0))+(IF((Assumptions!$D$25+IF($C17="P001",-SUMIFS(Assumptions!$L$41:$L$364,Assumptions!$C$41:$C$364,$D$4,Assumptions!$E$41:$E$364,$C17)/365*Assumptions!$D$23,0))&lt;0,MIN(MAX(0,Assumptions!$D$14-Assumptions!$D$16-O17),-(Assumptions!$D$25+IF($C17="P001",-SUMIFS(Assumptions!$L$41:$L$364,Assumptions!$C$41:$C$364,$D$4,Assumptions!$E$41:$E$364,$C17)/365*Assumptions!$D$23,0))),0))-(IF((Assumptions!$D$25+IF($C17="P001",-SUMIFS(Assumptions!$L$41:$L$364,Assumptions!$C$41:$C$364,$D$4,Assumptions!$E$41:$E$364,$C17)/365*Assumptions!$D$23,0))&gt;0,MIN(O17,(Assumptions!$D$25+IF($C17="P001",-SUMIFS(Assumptions!$L$41:$L$364,Assumptions!$C$41:$C$364,$D$4,Assumptions!$E$41:$E$364,$C17)/365*Assumptions!$D$23,0))),0))</f>
        <v>25</v>
      </c>
      <c r="X17" s="16" t="n">
        <f aca="false">N17+R17</f>
        <v>625.83024871792</v>
      </c>
      <c r="Y17" s="16" t="n">
        <f aca="false">Assumptions!$D$17</f>
        <v>62.619</v>
      </c>
      <c r="Z17" s="16" t="n">
        <f aca="false">X17+Y17</f>
        <v>688.449248717921</v>
      </c>
      <c r="AA17" s="16" t="n">
        <f aca="false">MAX(0,Assumptions!$D$14-Assumptions!$D$16-R17)</f>
        <v>279.15725128208</v>
      </c>
      <c r="AB17" s="16" t="n">
        <f aca="false">MAX(0,W17-Assumptions!$D$24)+AA17</f>
        <v>279.15725128208</v>
      </c>
      <c r="AC17" s="16" t="n">
        <f aca="false">SUMIFS(Assumptions!$AM$41:$AM$364,Assumptions!$C$41:$C$364,$D$4,Assumptions!$E$41:$E$364,$C17)+MAX(0,-W17)</f>
        <v>0</v>
      </c>
      <c r="AD17" s="14" t="str">
        <f aca="false">IF(COUNTIFS(Assumptions!$C$41:$C$364,$D$4,Assumptions!$E$41:$E$364,$C17,Assumptions!$AR$41:$AR$364,"*shutoff_active*")&gt;0,"SHUTOFF","AVAILABLE")</f>
        <v>AVAILABLE</v>
      </c>
    </row>
    <row r="18" customFormat="false" ht="15" hidden="false" customHeight="false" outlineLevel="0" collapsed="false">
      <c r="C18" s="14" t="s">
        <v>287</v>
      </c>
      <c r="D18" s="29" t="n">
        <v>46265</v>
      </c>
      <c r="E18" s="14" t="s">
        <v>253</v>
      </c>
      <c r="F18" s="14" t="s">
        <v>254</v>
      </c>
      <c r="G18" s="14" t="s">
        <v>288</v>
      </c>
      <c r="H18" s="14" t="n">
        <v>31</v>
      </c>
      <c r="I18" s="16" t="n">
        <f aca="false">SUMIFS(Assumptions!$T$41:$T$364,Assumptions!$C$41:$C$364,$D$4,Assumptions!$E$41:$E$364,$C18)+(Assumptions!$D$25+IF($C18="P001",-SUMIFS(Assumptions!$L$41:$L$364,Assumptions!$C$41:$C$364,$D$4,Assumptions!$E$41:$E$364,$C18)/365*Assumptions!$D$23,0))</f>
        <v>12.4903775654113</v>
      </c>
      <c r="J18" s="16" t="n">
        <f aca="false">N17</f>
        <v>611.1875</v>
      </c>
      <c r="K18" s="16" t="n">
        <f aca="false">SUMIFS(Assumptions!$Y$41:$Y$364,Assumptions!$C$41:$C$364,$D$4,Assumptions!$E$41:$E$364,$C18)*(Assumptions!$D$12/635)*(Assumptions!$D$18/7.5%)</f>
        <v>0</v>
      </c>
      <c r="L18" s="16" t="n">
        <f aca="false">SUMIFS(Assumptions!$Z$41:$Z$364,Assumptions!$C$41:$C$364,$D$4,Assumptions!$E$41:$E$364,$C18)*(Assumptions!$D$26/50%)*IF(SUMIFS(Assumptions!$AO$41:$AO$364,Assumptions!$C$41:$C$364,$D$4,Assumptions!$E$41:$E$364,$C18)&gt;Assumptions!$D$24,1,0)</f>
        <v>0</v>
      </c>
      <c r="M18" s="16" t="n">
        <f aca="false">SUMIFS(Assumptions!$AB$41:$AB$364,Assumptions!$C$41:$C$364,$D$4,Assumptions!$E$41:$E$364,$C18)</f>
        <v>0</v>
      </c>
      <c r="N18" s="16" t="n">
        <f aca="false">MAX(0,J18-K18-L18-M18)</f>
        <v>611.1875</v>
      </c>
      <c r="O18" s="16" t="n">
        <f aca="false">R17</f>
        <v>14.6427487179204</v>
      </c>
      <c r="P18" s="16" t="n">
        <f aca="false">SUMIFS(Assumptions!$AE$41:$AE$364,Assumptions!$C$41:$C$364,$D$4,Assumptions!$E$41:$E$364,$C18)+IF((Assumptions!$D$25+IF($C18="P001",-SUMIFS(Assumptions!$L$41:$L$364,Assumptions!$C$41:$C$364,$D$4,Assumptions!$E$41:$E$364,$C18)/365*Assumptions!$D$23,0))&lt;0,MIN(MAX(0,Assumptions!$D$14-Assumptions!$D$16-O18),-(Assumptions!$D$25+IF($C18="P001",-SUMIFS(Assumptions!$L$41:$L$364,Assumptions!$C$41:$C$364,$D$4,Assumptions!$E$41:$E$364,$C18)/365*Assumptions!$D$23,0))),0)</f>
        <v>0</v>
      </c>
      <c r="Q18" s="16" t="n">
        <f aca="false">SUMIFS(Assumptions!$AF$41:$AF$364,Assumptions!$C$41:$C$364,$D$4,Assumptions!$E$41:$E$364,$C18)+IF((Assumptions!$D$25+IF($C18="P001",-SUMIFS(Assumptions!$L$41:$L$364,Assumptions!$C$41:$C$364,$D$4,Assumptions!$E$41:$E$364,$C18)/365*Assumptions!$D$23,0))&gt;0,MIN(O18,(Assumptions!$D$25+IF($C18="P001",-SUMIFS(Assumptions!$L$41:$L$364,Assumptions!$C$41:$C$364,$D$4,Assumptions!$E$41:$E$364,$C18)/365*Assumptions!$D$23,0))),0)</f>
        <v>6.76155003022072</v>
      </c>
      <c r="R18" s="16" t="n">
        <f aca="false">MAX(0,O18+P18-Q18)</f>
        <v>7.88119868769966</v>
      </c>
      <c r="S18" s="16" t="n">
        <f aca="false">(J18+N18+O18+R18)/2</f>
        <v>622.44947370281</v>
      </c>
      <c r="T18" s="16" t="n">
        <f aca="false">IF(Assumptions!$D$19="","",IF(((SUMIFS(Assumptions!$W$41:$W$364,Assumptions!$C$41:$C$364,$D$4,Assumptions!$E$41:$E$364,$C18)+SUMIFS(Assumptions!$AC$41:$AC$364,Assumptions!$C$41:$C$364,$D$4,Assumptions!$E$41:$E$364,$C18)+SUMIFS(Assumptions!$AD$41:$AD$364,Assumptions!$C$41:$C$364,$D$4,Assumptions!$E$41:$E$364,$C18)+SUMIFS(Assumptions!$AG$41:$AG$364,Assumptions!$C$41:$C$364,$D$4,Assumptions!$E$41:$E$364,$C18))/2)=0,0,SUMIFS(Assumptions!$AI$41:$AI$364,Assumptions!$C$41:$C$364,$D$4,Assumptions!$E$41:$E$364,$C18)*S18/((SUMIFS(Assumptions!$W$41:$W$364,Assumptions!$C$41:$C$364,$D$4,Assumptions!$E$41:$E$364,$C18)+SUMIFS(Assumptions!$AC$41:$AC$364,Assumptions!$C$41:$C$364,$D$4,Assumptions!$E$41:$E$364,$C18)+SUMIFS(Assumptions!$AD$41:$AD$364,Assumptions!$C$41:$C$364,$D$4,Assumptions!$E$41:$E$364,$C18)+SUMIFS(Assumptions!$AG$41:$AG$364,Assumptions!$C$41:$C$364,$D$4,Assumptions!$E$41:$E$364,$C18))/2)*(Assumptions!$D$19/6.57%))+Assumptions!$D$20*S18*H18/365)</f>
        <v>3.40791086852392</v>
      </c>
      <c r="U18" s="16" t="n">
        <f aca="false">SUMIFS(Assumptions!$AJ$41:$AJ$364,Assumptions!$C$41:$C$364,$D$4,Assumptions!$E$41:$E$364,$C18)</f>
        <v>0.695916666666667</v>
      </c>
      <c r="V18" s="16" t="n">
        <f aca="false">SUMIFS(Assumptions!$AK$41:$AK$364,Assumptions!$C$41:$C$364,$D$4,Assumptions!$E$41:$E$364,$C18)+SUMIFS(Assumptions!$AL$41:$AL$364,Assumptions!$C$41:$C$364,$D$4,Assumptions!$E$41:$E$364,$C18)</f>
        <v>1.625</v>
      </c>
      <c r="W18" s="16" t="n">
        <f aca="false">W17+(SUMIFS(Assumptions!$V$41:$V$364,Assumptions!$C$41:$C$364,$D$4,Assumptions!$E$41:$E$364,$C18)-SUMIFS(Assumptions!$U$41:$U$364,Assumptions!$C$41:$C$364,$D$4,Assumptions!$E$41:$E$364,$C18))+(Assumptions!$D$25+IF($C18="P001",-SUMIFS(Assumptions!$L$41:$L$364,Assumptions!$C$41:$C$364,$D$4,Assumptions!$E$41:$E$364,$C18)/365*Assumptions!$D$23,0))+(IF((Assumptions!$D$25+IF($C18="P001",-SUMIFS(Assumptions!$L$41:$L$364,Assumptions!$C$41:$C$364,$D$4,Assumptions!$E$41:$E$364,$C18)/365*Assumptions!$D$23,0))&lt;0,MIN(MAX(0,Assumptions!$D$14-Assumptions!$D$16-O18),-(Assumptions!$D$25+IF($C18="P001",-SUMIFS(Assumptions!$L$41:$L$364,Assumptions!$C$41:$C$364,$D$4,Assumptions!$E$41:$E$364,$C18)/365*Assumptions!$D$23,0))),0))-(IF((Assumptions!$D$25+IF($C18="P001",-SUMIFS(Assumptions!$L$41:$L$364,Assumptions!$C$41:$C$364,$D$4,Assumptions!$E$41:$E$364,$C18)/365*Assumptions!$D$23,0))&gt;0,MIN(O18,(Assumptions!$D$25+IF($C18="P001",-SUMIFS(Assumptions!$L$41:$L$364,Assumptions!$C$41:$C$364,$D$4,Assumptions!$E$41:$E$364,$C18)/365*Assumptions!$D$23,0))),0))</f>
        <v>25</v>
      </c>
      <c r="X18" s="16" t="n">
        <f aca="false">N18+R18</f>
        <v>619.0686986877</v>
      </c>
      <c r="Y18" s="16" t="n">
        <f aca="false">Assumptions!$D$17</f>
        <v>62.619</v>
      </c>
      <c r="Z18" s="16" t="n">
        <f aca="false">X18+Y18</f>
        <v>681.6876986877</v>
      </c>
      <c r="AA18" s="16" t="n">
        <f aca="false">MAX(0,Assumptions!$D$14-Assumptions!$D$16-R18)</f>
        <v>285.9188013123</v>
      </c>
      <c r="AB18" s="16" t="n">
        <f aca="false">MAX(0,W18-Assumptions!$D$24)+AA18</f>
        <v>285.9188013123</v>
      </c>
      <c r="AC18" s="16" t="n">
        <f aca="false">SUMIFS(Assumptions!$AM$41:$AM$364,Assumptions!$C$41:$C$364,$D$4,Assumptions!$E$41:$E$364,$C18)+MAX(0,-W18)</f>
        <v>0</v>
      </c>
      <c r="AD18" s="14" t="str">
        <f aca="false">IF(COUNTIFS(Assumptions!$C$41:$C$364,$D$4,Assumptions!$E$41:$E$364,$C18,Assumptions!$AR$41:$AR$364,"*shutoff_active*")&gt;0,"SHUTOFF","AVAILABLE")</f>
        <v>AVAILABLE</v>
      </c>
    </row>
    <row r="19" customFormat="false" ht="15" hidden="false" customHeight="false" outlineLevel="0" collapsed="false">
      <c r="C19" s="14" t="s">
        <v>293</v>
      </c>
      <c r="D19" s="29" t="n">
        <v>46295</v>
      </c>
      <c r="E19" s="14" t="s">
        <v>253</v>
      </c>
      <c r="F19" s="14" t="s">
        <v>254</v>
      </c>
      <c r="G19" s="14" t="s">
        <v>288</v>
      </c>
      <c r="H19" s="14" t="n">
        <v>30</v>
      </c>
      <c r="I19" s="16" t="n">
        <f aca="false">SUMIFS(Assumptions!$T$41:$T$364,Assumptions!$C$41:$C$364,$D$4,Assumptions!$E$41:$E$364,$C19)+(Assumptions!$D$25+IF($C19="P001",-SUMIFS(Assumptions!$L$41:$L$364,Assumptions!$C$41:$C$364,$D$4,Assumptions!$E$41:$E$364,$C19)/365*Assumptions!$D$23,0))</f>
        <v>12.4903775654113</v>
      </c>
      <c r="J19" s="16" t="n">
        <f aca="false">N18</f>
        <v>611.1875</v>
      </c>
      <c r="K19" s="16" t="n">
        <f aca="false">SUMIFS(Assumptions!$Y$41:$Y$364,Assumptions!$C$41:$C$364,$D$4,Assumptions!$E$41:$E$364,$C19)*(Assumptions!$D$12/635)*(Assumptions!$D$18/7.5%)</f>
        <v>0</v>
      </c>
      <c r="L19" s="16" t="n">
        <f aca="false">SUMIFS(Assumptions!$Z$41:$Z$364,Assumptions!$C$41:$C$364,$D$4,Assumptions!$E$41:$E$364,$C19)*(Assumptions!$D$26/50%)*IF(SUMIFS(Assumptions!$AO$41:$AO$364,Assumptions!$C$41:$C$364,$D$4,Assumptions!$E$41:$E$364,$C19)&gt;Assumptions!$D$24,1,0)</f>
        <v>0</v>
      </c>
      <c r="M19" s="16" t="n">
        <f aca="false">SUMIFS(Assumptions!$AB$41:$AB$364,Assumptions!$C$41:$C$364,$D$4,Assumptions!$E$41:$E$364,$C19)</f>
        <v>0</v>
      </c>
      <c r="N19" s="16" t="n">
        <f aca="false">MAX(0,J19-K19-L19-M19)</f>
        <v>611.1875</v>
      </c>
      <c r="O19" s="16" t="n">
        <f aca="false">R18</f>
        <v>7.88119868769966</v>
      </c>
      <c r="P19" s="16" t="n">
        <f aca="false">SUMIFS(Assumptions!$AE$41:$AE$364,Assumptions!$C$41:$C$364,$D$4,Assumptions!$E$41:$E$364,$C19)+IF((Assumptions!$D$25+IF($C19="P001",-SUMIFS(Assumptions!$L$41:$L$364,Assumptions!$C$41:$C$364,$D$4,Assumptions!$E$41:$E$364,$C19)/365*Assumptions!$D$23,0))&lt;0,MIN(MAX(0,Assumptions!$D$14-Assumptions!$D$16-O19),-(Assumptions!$D$25+IF($C19="P001",-SUMIFS(Assumptions!$L$41:$L$364,Assumptions!$C$41:$C$364,$D$4,Assumptions!$E$41:$E$364,$C19)/365*Assumptions!$D$23,0))),0)</f>
        <v>0</v>
      </c>
      <c r="Q19" s="16" t="n">
        <f aca="false">SUMIFS(Assumptions!$AF$41:$AF$364,Assumptions!$C$41:$C$364,$D$4,Assumptions!$E$41:$E$364,$C19)+IF((Assumptions!$D$25+IF($C19="P001",-SUMIFS(Assumptions!$L$41:$L$364,Assumptions!$C$41:$C$364,$D$4,Assumptions!$E$41:$E$364,$C19)/365*Assumptions!$D$23,0))&gt;0,MIN(O19,(Assumptions!$D$25+IF($C19="P001",-SUMIFS(Assumptions!$L$41:$L$364,Assumptions!$C$41:$C$364,$D$4,Assumptions!$E$41:$E$364,$C19)/365*Assumptions!$D$23,0))),0)</f>
        <v>6.79867113566232</v>
      </c>
      <c r="R19" s="16" t="n">
        <f aca="false">MAX(0,O19+P19-Q19)</f>
        <v>1.08252755203734</v>
      </c>
      <c r="S19" s="16" t="n">
        <f aca="false">(J19+N19+O19+R19)/2</f>
        <v>615.669363119869</v>
      </c>
      <c r="T19" s="16" t="n">
        <f aca="false">IF(Assumptions!$D$19="","",IF(((SUMIFS(Assumptions!$W$41:$W$364,Assumptions!$C$41:$C$364,$D$4,Assumptions!$E$41:$E$364,$C19)+SUMIFS(Assumptions!$AC$41:$AC$364,Assumptions!$C$41:$C$364,$D$4,Assumptions!$E$41:$E$364,$C19)+SUMIFS(Assumptions!$AD$41:$AD$364,Assumptions!$C$41:$C$364,$D$4,Assumptions!$E$41:$E$364,$C19)+SUMIFS(Assumptions!$AG$41:$AG$364,Assumptions!$C$41:$C$364,$D$4,Assumptions!$E$41:$E$364,$C19))/2)=0,0,SUMIFS(Assumptions!$AI$41:$AI$364,Assumptions!$C$41:$C$364,$D$4,Assumptions!$E$41:$E$364,$C19)*S19/((SUMIFS(Assumptions!$W$41:$W$364,Assumptions!$C$41:$C$364,$D$4,Assumptions!$E$41:$E$364,$C19)+SUMIFS(Assumptions!$AC$41:$AC$364,Assumptions!$C$41:$C$364,$D$4,Assumptions!$E$41:$E$364,$C19)+SUMIFS(Assumptions!$AD$41:$AD$364,Assumptions!$C$41:$C$364,$D$4,Assumptions!$E$41:$E$364,$C19)+SUMIFS(Assumptions!$AG$41:$AG$364,Assumptions!$C$41:$C$364,$D$4,Assumptions!$E$41:$E$364,$C19))/2)*(Assumptions!$D$19/6.57%))+Assumptions!$D$20*S19*H19/365)</f>
        <v>3.37078976308232</v>
      </c>
      <c r="U19" s="16" t="n">
        <f aca="false">SUMIFS(Assumptions!$AJ$41:$AJ$364,Assumptions!$C$41:$C$364,$D$4,Assumptions!$E$41:$E$364,$C19)</f>
        <v>0.695916666666667</v>
      </c>
      <c r="V19" s="16" t="n">
        <f aca="false">SUMIFS(Assumptions!$AK$41:$AK$364,Assumptions!$C$41:$C$364,$D$4,Assumptions!$E$41:$E$364,$C19)+SUMIFS(Assumptions!$AL$41:$AL$364,Assumptions!$C$41:$C$364,$D$4,Assumptions!$E$41:$E$364,$C19)</f>
        <v>1.625</v>
      </c>
      <c r="W19" s="16" t="n">
        <f aca="false">W18+(SUMIFS(Assumptions!$V$41:$V$364,Assumptions!$C$41:$C$364,$D$4,Assumptions!$E$41:$E$364,$C19)-SUMIFS(Assumptions!$U$41:$U$364,Assumptions!$C$41:$C$364,$D$4,Assumptions!$E$41:$E$364,$C19))+(Assumptions!$D$25+IF($C19="P001",-SUMIFS(Assumptions!$L$41:$L$364,Assumptions!$C$41:$C$364,$D$4,Assumptions!$E$41:$E$364,$C19)/365*Assumptions!$D$23,0))+(IF((Assumptions!$D$25+IF($C19="P001",-SUMIFS(Assumptions!$L$41:$L$364,Assumptions!$C$41:$C$364,$D$4,Assumptions!$E$41:$E$364,$C19)/365*Assumptions!$D$23,0))&lt;0,MIN(MAX(0,Assumptions!$D$14-Assumptions!$D$16-O19),-(Assumptions!$D$25+IF($C19="P001",-SUMIFS(Assumptions!$L$41:$L$364,Assumptions!$C$41:$C$364,$D$4,Assumptions!$E$41:$E$364,$C19)/365*Assumptions!$D$23,0))),0))-(IF((Assumptions!$D$25+IF($C19="P001",-SUMIFS(Assumptions!$L$41:$L$364,Assumptions!$C$41:$C$364,$D$4,Assumptions!$E$41:$E$364,$C19)/365*Assumptions!$D$23,0))&gt;0,MIN(O19,(Assumptions!$D$25+IF($C19="P001",-SUMIFS(Assumptions!$L$41:$L$364,Assumptions!$C$41:$C$364,$D$4,Assumptions!$E$41:$E$364,$C19)/365*Assumptions!$D$23,0))),0))</f>
        <v>25</v>
      </c>
      <c r="X19" s="16" t="n">
        <f aca="false">N19+R19</f>
        <v>612.270027552037</v>
      </c>
      <c r="Y19" s="16" t="n">
        <f aca="false">Assumptions!$D$17</f>
        <v>62.619</v>
      </c>
      <c r="Z19" s="16" t="n">
        <f aca="false">X19+Y19</f>
        <v>674.889027552037</v>
      </c>
      <c r="AA19" s="16" t="n">
        <f aca="false">MAX(0,Assumptions!$D$14-Assumptions!$D$16-R19)</f>
        <v>292.717472447963</v>
      </c>
      <c r="AB19" s="16" t="n">
        <f aca="false">MAX(0,W19-Assumptions!$D$24)+AA19</f>
        <v>292.717472447963</v>
      </c>
      <c r="AC19" s="16" t="n">
        <f aca="false">SUMIFS(Assumptions!$AM$41:$AM$364,Assumptions!$C$41:$C$364,$D$4,Assumptions!$E$41:$E$364,$C19)+MAX(0,-W19)</f>
        <v>0</v>
      </c>
      <c r="AD19" s="14" t="str">
        <f aca="false">IF(COUNTIFS(Assumptions!$C$41:$C$364,$D$4,Assumptions!$E$41:$E$364,$C19,Assumptions!$AR$41:$AR$364,"*shutoff_active*")&gt;0,"SHUTOFF","AVAILABLE")</f>
        <v>AVAILABLE</v>
      </c>
    </row>
    <row r="20" customFormat="false" ht="15" hidden="false" customHeight="false" outlineLevel="0" collapsed="false">
      <c r="C20" s="14" t="s">
        <v>297</v>
      </c>
      <c r="D20" s="29" t="n">
        <v>46326</v>
      </c>
      <c r="E20" s="14" t="s">
        <v>253</v>
      </c>
      <c r="F20" s="14" t="s">
        <v>254</v>
      </c>
      <c r="G20" s="14" t="s">
        <v>288</v>
      </c>
      <c r="H20" s="14" t="n">
        <v>31</v>
      </c>
      <c r="I20" s="16" t="n">
        <f aca="false">SUMIFS(Assumptions!$T$41:$T$364,Assumptions!$C$41:$C$364,$D$4,Assumptions!$E$41:$E$364,$C20)+(Assumptions!$D$25+IF($C20="P001",-SUMIFS(Assumptions!$L$41:$L$364,Assumptions!$C$41:$C$364,$D$4,Assumptions!$E$41:$E$364,$C20)/365*Assumptions!$D$23,0))</f>
        <v>12.4903775654113</v>
      </c>
      <c r="J20" s="16" t="n">
        <f aca="false">N19</f>
        <v>611.1875</v>
      </c>
      <c r="K20" s="16" t="n">
        <f aca="false">SUMIFS(Assumptions!$Y$41:$Y$364,Assumptions!$C$41:$C$364,$D$4,Assumptions!$E$41:$E$364,$C20)*(Assumptions!$D$12/635)*(Assumptions!$D$18/7.5%)</f>
        <v>11.90625</v>
      </c>
      <c r="L20" s="16" t="n">
        <f aca="false">SUMIFS(Assumptions!$Z$41:$Z$364,Assumptions!$C$41:$C$364,$D$4,Assumptions!$E$41:$E$364,$C20)*(Assumptions!$D$26/50%)*IF(SUMIFS(Assumptions!$AO$41:$AO$364,Assumptions!$C$41:$C$364,$D$4,Assumptions!$E$41:$E$364,$C20)&gt;Assumptions!$D$24,1,0)</f>
        <v>0</v>
      </c>
      <c r="M20" s="16" t="n">
        <f aca="false">SUMIFS(Assumptions!$AB$41:$AB$364,Assumptions!$C$41:$C$364,$D$4,Assumptions!$E$41:$E$364,$C20)</f>
        <v>0</v>
      </c>
      <c r="N20" s="16" t="n">
        <f aca="false">MAX(0,J20-K20-L20-M20)</f>
        <v>599.28125</v>
      </c>
      <c r="O20" s="16" t="n">
        <f aca="false">R19</f>
        <v>1.08252755203734</v>
      </c>
      <c r="P20" s="16" t="n">
        <f aca="false">SUMIFS(Assumptions!$AE$41:$AE$364,Assumptions!$C$41:$C$364,$D$4,Assumptions!$E$41:$E$364,$C20)+IF((Assumptions!$D$25+IF($C20="P001",-SUMIFS(Assumptions!$L$41:$L$364,Assumptions!$C$41:$C$364,$D$4,Assumptions!$E$41:$E$364,$C20)/365*Assumptions!$D$23,0))&lt;0,MIN(MAX(0,Assumptions!$D$14-Assumptions!$D$16-O20),-(Assumptions!$D$25+IF($C20="P001",-SUMIFS(Assumptions!$L$41:$L$364,Assumptions!$C$41:$C$364,$D$4,Assumptions!$E$41:$E$364,$C20)/365*Assumptions!$D$23,0))),0)</f>
        <v>5.07025396295057</v>
      </c>
      <c r="Q20" s="16" t="n">
        <f aca="false">SUMIFS(Assumptions!$AF$41:$AF$364,Assumptions!$C$41:$C$364,$D$4,Assumptions!$E$41:$E$364,$C20)+IF((Assumptions!$D$25+IF($C20="P001",-SUMIFS(Assumptions!$L$41:$L$364,Assumptions!$C$41:$C$364,$D$4,Assumptions!$E$41:$E$364,$C20)/365*Assumptions!$D$23,0))&gt;0,MIN(O20,(Assumptions!$D$25+IF($C20="P001",-SUMIFS(Assumptions!$L$41:$L$364,Assumptions!$C$41:$C$364,$D$4,Assumptions!$E$41:$E$364,$C20)/365*Assumptions!$D$23,0))),0)</f>
        <v>0</v>
      </c>
      <c r="R20" s="16" t="n">
        <f aca="false">MAX(0,O20+P20-Q20)</f>
        <v>6.15278151498791</v>
      </c>
      <c r="S20" s="16" t="n">
        <f aca="false">(J20+N20+O20+R20)/2</f>
        <v>608.852029533513</v>
      </c>
      <c r="T20" s="16" t="n">
        <f aca="false">IF(Assumptions!$D$19="","",IF(((SUMIFS(Assumptions!$W$41:$W$364,Assumptions!$C$41:$C$364,$D$4,Assumptions!$E$41:$E$364,$C20)+SUMIFS(Assumptions!$AC$41:$AC$364,Assumptions!$C$41:$C$364,$D$4,Assumptions!$E$41:$E$364,$C20)+SUMIFS(Assumptions!$AD$41:$AD$364,Assumptions!$C$41:$C$364,$D$4,Assumptions!$E$41:$E$364,$C20)+SUMIFS(Assumptions!$AG$41:$AG$364,Assumptions!$C$41:$C$364,$D$4,Assumptions!$E$41:$E$364,$C20))/2)=0,0,SUMIFS(Assumptions!$AI$41:$AI$364,Assumptions!$C$41:$C$364,$D$4,Assumptions!$E$41:$E$364,$C20)*S20/((SUMIFS(Assumptions!$W$41:$W$364,Assumptions!$C$41:$C$364,$D$4,Assumptions!$E$41:$E$364,$C20)+SUMIFS(Assumptions!$AC$41:$AC$364,Assumptions!$C$41:$C$364,$D$4,Assumptions!$E$41:$E$364,$C20)+SUMIFS(Assumptions!$AD$41:$AD$364,Assumptions!$C$41:$C$364,$D$4,Assumptions!$E$41:$E$364,$C20)+SUMIFS(Assumptions!$AG$41:$AG$364,Assumptions!$C$41:$C$364,$D$4,Assumptions!$E$41:$E$364,$C20))/2)*(Assumptions!$D$19/6.57%))+Assumptions!$D$20*S20*H20/365)</f>
        <v>3.3334648616952</v>
      </c>
      <c r="U20" s="16" t="n">
        <f aca="false">SUMIFS(Assumptions!$AJ$41:$AJ$364,Assumptions!$C$41:$C$364,$D$4,Assumptions!$E$41:$E$364,$C20)</f>
        <v>0.695916666666667</v>
      </c>
      <c r="V20" s="16" t="n">
        <f aca="false">SUMIFS(Assumptions!$AK$41:$AK$364,Assumptions!$C$41:$C$364,$D$4,Assumptions!$E$41:$E$364,$C20)+SUMIFS(Assumptions!$AL$41:$AL$364,Assumptions!$C$41:$C$364,$D$4,Assumptions!$E$41:$E$364,$C20)</f>
        <v>1.625</v>
      </c>
      <c r="W20" s="16" t="n">
        <f aca="false">W19+(SUMIFS(Assumptions!$V$41:$V$364,Assumptions!$C$41:$C$364,$D$4,Assumptions!$E$41:$E$364,$C20)-SUMIFS(Assumptions!$U$41:$U$364,Assumptions!$C$41:$C$364,$D$4,Assumptions!$E$41:$E$364,$C20))+(Assumptions!$D$25+IF($C20="P001",-SUMIFS(Assumptions!$L$41:$L$364,Assumptions!$C$41:$C$364,$D$4,Assumptions!$E$41:$E$364,$C20)/365*Assumptions!$D$23,0))+(IF((Assumptions!$D$25+IF($C20="P001",-SUMIFS(Assumptions!$L$41:$L$364,Assumptions!$C$41:$C$364,$D$4,Assumptions!$E$41:$E$364,$C20)/365*Assumptions!$D$23,0))&lt;0,MIN(MAX(0,Assumptions!$D$14-Assumptions!$D$16-O20),-(Assumptions!$D$25+IF($C20="P001",-SUMIFS(Assumptions!$L$41:$L$364,Assumptions!$C$41:$C$364,$D$4,Assumptions!$E$41:$E$364,$C20)/365*Assumptions!$D$23,0))),0))-(IF((Assumptions!$D$25+IF($C20="P001",-SUMIFS(Assumptions!$L$41:$L$364,Assumptions!$C$41:$C$364,$D$4,Assumptions!$E$41:$E$364,$C20)/365*Assumptions!$D$23,0))&gt;0,MIN(O20,(Assumptions!$D$25+IF($C20="P001",-SUMIFS(Assumptions!$L$41:$L$364,Assumptions!$C$41:$C$364,$D$4,Assumptions!$E$41:$E$364,$C20)/365*Assumptions!$D$23,0))),0))</f>
        <v>25</v>
      </c>
      <c r="X20" s="16" t="n">
        <f aca="false">N20+R20</f>
        <v>605.434031514988</v>
      </c>
      <c r="Y20" s="16" t="n">
        <f aca="false">Assumptions!$D$17</f>
        <v>62.619</v>
      </c>
      <c r="Z20" s="16" t="n">
        <f aca="false">X20+Y20</f>
        <v>668.053031514988</v>
      </c>
      <c r="AA20" s="16" t="n">
        <f aca="false">MAX(0,Assumptions!$D$14-Assumptions!$D$16-R20)</f>
        <v>287.647218485012</v>
      </c>
      <c r="AB20" s="16" t="n">
        <f aca="false">MAX(0,W20-Assumptions!$D$24)+AA20</f>
        <v>287.647218485012</v>
      </c>
      <c r="AC20" s="16" t="n">
        <f aca="false">SUMIFS(Assumptions!$AM$41:$AM$364,Assumptions!$C$41:$C$364,$D$4,Assumptions!$E$41:$E$364,$C20)+MAX(0,-W20)</f>
        <v>0</v>
      </c>
      <c r="AD20" s="14" t="str">
        <f aca="false">IF(COUNTIFS(Assumptions!$C$41:$C$364,$D$4,Assumptions!$E$41:$E$364,$C20,Assumptions!$AR$41:$AR$364,"*shutoff_active*")&gt;0,"SHUTOFF","AVAILABLE")</f>
        <v>AVAILABLE</v>
      </c>
    </row>
    <row r="21" customFormat="false" ht="15" hidden="false" customHeight="false" outlineLevel="0" collapsed="false">
      <c r="C21" s="14" t="s">
        <v>301</v>
      </c>
      <c r="D21" s="29" t="n">
        <v>46356</v>
      </c>
      <c r="E21" s="14" t="s">
        <v>253</v>
      </c>
      <c r="F21" s="14" t="s">
        <v>302</v>
      </c>
      <c r="G21" s="14" t="s">
        <v>303</v>
      </c>
      <c r="H21" s="14" t="n">
        <v>30</v>
      </c>
      <c r="I21" s="16" t="n">
        <f aca="false">SUMIFS(Assumptions!$T$41:$T$364,Assumptions!$C$41:$C$364,$D$4,Assumptions!$E$41:$E$364,$C21)+(Assumptions!$D$25+IF($C21="P001",-SUMIFS(Assumptions!$L$41:$L$364,Assumptions!$C$41:$C$364,$D$4,Assumptions!$E$41:$E$364,$C21)/365*Assumptions!$D$23,0))</f>
        <v>5.21613012230203</v>
      </c>
      <c r="J21" s="16" t="n">
        <f aca="false">N20</f>
        <v>599.28125</v>
      </c>
      <c r="K21" s="16" t="n">
        <f aca="false">SUMIFS(Assumptions!$Y$41:$Y$364,Assumptions!$C$41:$C$364,$D$4,Assumptions!$E$41:$E$364,$C21)*(Assumptions!$D$12/635)*(Assumptions!$D$18/7.5%)</f>
        <v>0</v>
      </c>
      <c r="L21" s="16" t="n">
        <f aca="false">SUMIFS(Assumptions!$Z$41:$Z$364,Assumptions!$C$41:$C$364,$D$4,Assumptions!$E$41:$E$364,$C21)*(Assumptions!$D$26/50%)*IF(SUMIFS(Assumptions!$AO$41:$AO$364,Assumptions!$C$41:$C$364,$D$4,Assumptions!$E$41:$E$364,$C21)&gt;Assumptions!$D$24,1,0)</f>
        <v>0</v>
      </c>
      <c r="M21" s="16" t="n">
        <f aca="false">SUMIFS(Assumptions!$AB$41:$AB$364,Assumptions!$C$41:$C$364,$D$4,Assumptions!$E$41:$E$364,$C21)</f>
        <v>0</v>
      </c>
      <c r="N21" s="16" t="n">
        <f aca="false">MAX(0,J21-K21-L21-M21)</f>
        <v>599.28125</v>
      </c>
      <c r="O21" s="16" t="n">
        <f aca="false">R20</f>
        <v>6.15278151498791</v>
      </c>
      <c r="P21" s="16" t="n">
        <f aca="false">SUMIFS(Assumptions!$AE$41:$AE$364,Assumptions!$C$41:$C$364,$D$4,Assumptions!$E$41:$E$364,$C21)+IF((Assumptions!$D$25+IF($C21="P001",-SUMIFS(Assumptions!$L$41:$L$364,Assumptions!$C$41:$C$364,$D$4,Assumptions!$E$41:$E$364,$C21)/365*Assumptions!$D$23,0))&lt;0,MIN(MAX(0,Assumptions!$D$14-Assumptions!$D$16-O21),-(Assumptions!$D$25+IF($C21="P001",-SUMIFS(Assumptions!$L$41:$L$364,Assumptions!$C$41:$C$364,$D$4,Assumptions!$E$41:$E$364,$C21)/365*Assumptions!$D$23,0))),0)</f>
        <v>0.393949637374784</v>
      </c>
      <c r="Q21" s="16" t="n">
        <f aca="false">SUMIFS(Assumptions!$AF$41:$AF$364,Assumptions!$C$41:$C$364,$D$4,Assumptions!$E$41:$E$364,$C21)+IF((Assumptions!$D$25+IF($C21="P001",-SUMIFS(Assumptions!$L$41:$L$364,Assumptions!$C$41:$C$364,$D$4,Assumptions!$E$41:$E$364,$C21)/365*Assumptions!$D$23,0))&gt;0,MIN(O21,(Assumptions!$D$25+IF($C21="P001",-SUMIFS(Assumptions!$L$41:$L$364,Assumptions!$C$41:$C$364,$D$4,Assumptions!$E$41:$E$364,$C21)/365*Assumptions!$D$23,0))),0)</f>
        <v>0</v>
      </c>
      <c r="R21" s="16" t="n">
        <f aca="false">MAX(0,O21+P21-Q21)</f>
        <v>6.54673115236269</v>
      </c>
      <c r="S21" s="16" t="n">
        <f aca="false">(J21+N21+O21+R21)/2</f>
        <v>605.631006333675</v>
      </c>
      <c r="T21" s="16" t="n">
        <f aca="false">IF(Assumptions!$D$19="","",IF(((SUMIFS(Assumptions!$W$41:$W$364,Assumptions!$C$41:$C$364,$D$4,Assumptions!$E$41:$E$364,$C21)+SUMIFS(Assumptions!$AC$41:$AC$364,Assumptions!$C$41:$C$364,$D$4,Assumptions!$E$41:$E$364,$C21)+SUMIFS(Assumptions!$AD$41:$AD$364,Assumptions!$C$41:$C$364,$D$4,Assumptions!$E$41:$E$364,$C21)+SUMIFS(Assumptions!$AG$41:$AG$364,Assumptions!$C$41:$C$364,$D$4,Assumptions!$E$41:$E$364,$C21))/2)=0,0,SUMIFS(Assumptions!$AI$41:$AI$364,Assumptions!$C$41:$C$364,$D$4,Assumptions!$E$41:$E$364,$C21)*S21/((SUMIFS(Assumptions!$W$41:$W$364,Assumptions!$C$41:$C$364,$D$4,Assumptions!$E$41:$E$364,$C21)+SUMIFS(Assumptions!$AC$41:$AC$364,Assumptions!$C$41:$C$364,$D$4,Assumptions!$E$41:$E$364,$C21)+SUMIFS(Assumptions!$AD$41:$AD$364,Assumptions!$C$41:$C$364,$D$4,Assumptions!$E$41:$E$364,$C21)+SUMIFS(Assumptions!$AG$41:$AG$364,Assumptions!$C$41:$C$364,$D$4,Assumptions!$E$41:$E$364,$C21))/2)*(Assumptions!$D$19/6.57%))+Assumptions!$D$20*S21*H21/365)</f>
        <v>3.31582975967681</v>
      </c>
      <c r="U21" s="16" t="n">
        <f aca="false">SUMIFS(Assumptions!$AJ$41:$AJ$364,Assumptions!$C$41:$C$364,$D$4,Assumptions!$E$41:$E$364,$C21)</f>
        <v>0.66925</v>
      </c>
      <c r="V21" s="16" t="n">
        <f aca="false">SUMIFS(Assumptions!$AK$41:$AK$364,Assumptions!$C$41:$C$364,$D$4,Assumptions!$E$41:$E$364,$C21)+SUMIFS(Assumptions!$AL$41:$AL$364,Assumptions!$C$41:$C$364,$D$4,Assumptions!$E$41:$E$364,$C21)</f>
        <v>1.625</v>
      </c>
      <c r="W21" s="16" t="n">
        <f aca="false">W20+(SUMIFS(Assumptions!$V$41:$V$364,Assumptions!$C$41:$C$364,$D$4,Assumptions!$E$41:$E$364,$C21)-SUMIFS(Assumptions!$U$41:$U$364,Assumptions!$C$41:$C$364,$D$4,Assumptions!$E$41:$E$364,$C21))+(Assumptions!$D$25+IF($C21="P001",-SUMIFS(Assumptions!$L$41:$L$364,Assumptions!$C$41:$C$364,$D$4,Assumptions!$E$41:$E$364,$C21)/365*Assumptions!$D$23,0))+(IF((Assumptions!$D$25+IF($C21="P001",-SUMIFS(Assumptions!$L$41:$L$364,Assumptions!$C$41:$C$364,$D$4,Assumptions!$E$41:$E$364,$C21)/365*Assumptions!$D$23,0))&lt;0,MIN(MAX(0,Assumptions!$D$14-Assumptions!$D$16-O21),-(Assumptions!$D$25+IF($C21="P001",-SUMIFS(Assumptions!$L$41:$L$364,Assumptions!$C$41:$C$364,$D$4,Assumptions!$E$41:$E$364,$C21)/365*Assumptions!$D$23,0))),0))-(IF((Assumptions!$D$25+IF($C21="P001",-SUMIFS(Assumptions!$L$41:$L$364,Assumptions!$C$41:$C$364,$D$4,Assumptions!$E$41:$E$364,$C21)/365*Assumptions!$D$23,0))&gt;0,MIN(O21,(Assumptions!$D$25+IF($C21="P001",-SUMIFS(Assumptions!$L$41:$L$364,Assumptions!$C$41:$C$364,$D$4,Assumptions!$E$41:$E$364,$C21)/365*Assumptions!$D$23,0))),0))</f>
        <v>25</v>
      </c>
      <c r="X21" s="16" t="n">
        <f aca="false">N21+R21</f>
        <v>605.827981152363</v>
      </c>
      <c r="Y21" s="16" t="n">
        <f aca="false">Assumptions!$D$17</f>
        <v>62.619</v>
      </c>
      <c r="Z21" s="16" t="n">
        <f aca="false">X21+Y21</f>
        <v>668.446981152363</v>
      </c>
      <c r="AA21" s="16" t="n">
        <f aca="false">MAX(0,Assumptions!$D$14-Assumptions!$D$16-R21)</f>
        <v>287.253268847637</v>
      </c>
      <c r="AB21" s="16" t="n">
        <f aca="false">MAX(0,W21-Assumptions!$D$24)+AA21</f>
        <v>287.253268847637</v>
      </c>
      <c r="AC21" s="16" t="n">
        <f aca="false">SUMIFS(Assumptions!$AM$41:$AM$364,Assumptions!$C$41:$C$364,$D$4,Assumptions!$E$41:$E$364,$C21)+MAX(0,-W21)</f>
        <v>0</v>
      </c>
      <c r="AD21" s="14" t="str">
        <f aca="false">IF(COUNTIFS(Assumptions!$C$41:$C$364,$D$4,Assumptions!$E$41:$E$364,$C21,Assumptions!$AR$41:$AR$364,"*shutoff_active*")&gt;0,"SHUTOFF","AVAILABLE")</f>
        <v>AVAILABLE</v>
      </c>
    </row>
    <row r="22" customFormat="false" ht="15" hidden="false" customHeight="false" outlineLevel="0" collapsed="false">
      <c r="C22" s="14" t="s">
        <v>305</v>
      </c>
      <c r="D22" s="29" t="n">
        <v>46387</v>
      </c>
      <c r="E22" s="14" t="s">
        <v>253</v>
      </c>
      <c r="F22" s="14" t="s">
        <v>302</v>
      </c>
      <c r="G22" s="14" t="s">
        <v>303</v>
      </c>
      <c r="H22" s="14" t="n">
        <v>31</v>
      </c>
      <c r="I22" s="16" t="n">
        <f aca="false">SUMIFS(Assumptions!$T$41:$T$364,Assumptions!$C$41:$C$364,$D$4,Assumptions!$E$41:$E$364,$C22)+(Assumptions!$D$25+IF($C22="P001",-SUMIFS(Assumptions!$L$41:$L$364,Assumptions!$C$41:$C$364,$D$4,Assumptions!$E$41:$E$364,$C22)/365*Assumptions!$D$23,0))</f>
        <v>5.21613012230203</v>
      </c>
      <c r="J22" s="16" t="n">
        <f aca="false">N21</f>
        <v>599.28125</v>
      </c>
      <c r="K22" s="16" t="n">
        <f aca="false">SUMIFS(Assumptions!$Y$41:$Y$364,Assumptions!$C$41:$C$364,$D$4,Assumptions!$E$41:$E$364,$C22)*(Assumptions!$D$12/635)*(Assumptions!$D$18/7.5%)</f>
        <v>0</v>
      </c>
      <c r="L22" s="16" t="n">
        <f aca="false">SUMIFS(Assumptions!$Z$41:$Z$364,Assumptions!$C$41:$C$364,$D$4,Assumptions!$E$41:$E$364,$C22)*(Assumptions!$D$26/50%)*IF(SUMIFS(Assumptions!$AO$41:$AO$364,Assumptions!$C$41:$C$364,$D$4,Assumptions!$E$41:$E$364,$C22)&gt;Assumptions!$D$24,1,0)</f>
        <v>0</v>
      </c>
      <c r="M22" s="16" t="n">
        <f aca="false">SUMIFS(Assumptions!$AB$41:$AB$364,Assumptions!$C$41:$C$364,$D$4,Assumptions!$E$41:$E$364,$C22)</f>
        <v>0</v>
      </c>
      <c r="N22" s="16" t="n">
        <f aca="false">MAX(0,J22-K22-L22-M22)</f>
        <v>599.28125</v>
      </c>
      <c r="O22" s="16" t="n">
        <f aca="false">R21</f>
        <v>6.54673115236269</v>
      </c>
      <c r="P22" s="16" t="n">
        <f aca="false">SUMIFS(Assumptions!$AE$41:$AE$364,Assumptions!$C$41:$C$364,$D$4,Assumptions!$E$41:$E$364,$C22)+IF((Assumptions!$D$25+IF($C22="P001",-SUMIFS(Assumptions!$L$41:$L$364,Assumptions!$C$41:$C$364,$D$4,Assumptions!$E$41:$E$364,$C22)/365*Assumptions!$D$23,0))&lt;0,MIN(MAX(0,Assumptions!$D$14-Assumptions!$D$16-O22),-(Assumptions!$D$25+IF($C22="P001",-SUMIFS(Assumptions!$L$41:$L$364,Assumptions!$C$41:$C$364,$D$4,Assumptions!$E$41:$E$364,$C22)/365*Assumptions!$D$23,0))),0)</f>
        <v>0.396112432290492</v>
      </c>
      <c r="Q22" s="16" t="n">
        <f aca="false">SUMIFS(Assumptions!$AF$41:$AF$364,Assumptions!$C$41:$C$364,$D$4,Assumptions!$E$41:$E$364,$C22)+IF((Assumptions!$D$25+IF($C22="P001",-SUMIFS(Assumptions!$L$41:$L$364,Assumptions!$C$41:$C$364,$D$4,Assumptions!$E$41:$E$364,$C22)/365*Assumptions!$D$23,0))&gt;0,MIN(O22,(Assumptions!$D$25+IF($C22="P001",-SUMIFS(Assumptions!$L$41:$L$364,Assumptions!$C$41:$C$364,$D$4,Assumptions!$E$41:$E$364,$C22)/365*Assumptions!$D$23,0))),0)</f>
        <v>0</v>
      </c>
      <c r="R22" s="16" t="n">
        <f aca="false">MAX(0,O22+P22-Q22)</f>
        <v>6.94284358465319</v>
      </c>
      <c r="S22" s="16" t="n">
        <f aca="false">(J22+N22+O22+R22)/2</f>
        <v>606.026037368508</v>
      </c>
      <c r="T22" s="16" t="n">
        <f aca="false">IF(Assumptions!$D$19="","",IF(((SUMIFS(Assumptions!$W$41:$W$364,Assumptions!$C$41:$C$364,$D$4,Assumptions!$E$41:$E$364,$C22)+SUMIFS(Assumptions!$AC$41:$AC$364,Assumptions!$C$41:$C$364,$D$4,Assumptions!$E$41:$E$364,$C22)+SUMIFS(Assumptions!$AD$41:$AD$364,Assumptions!$C$41:$C$364,$D$4,Assumptions!$E$41:$E$364,$C22)+SUMIFS(Assumptions!$AG$41:$AG$364,Assumptions!$C$41:$C$364,$D$4,Assumptions!$E$41:$E$364,$C22))/2)=0,0,SUMIFS(Assumptions!$AI$41:$AI$364,Assumptions!$C$41:$C$364,$D$4,Assumptions!$E$41:$E$364,$C22)*S22/((SUMIFS(Assumptions!$W$41:$W$364,Assumptions!$C$41:$C$364,$D$4,Assumptions!$E$41:$E$364,$C22)+SUMIFS(Assumptions!$AC$41:$AC$364,Assumptions!$C$41:$C$364,$D$4,Assumptions!$E$41:$E$364,$C22)+SUMIFS(Assumptions!$AD$41:$AD$364,Assumptions!$C$41:$C$364,$D$4,Assumptions!$E$41:$E$364,$C22)+SUMIFS(Assumptions!$AG$41:$AG$364,Assumptions!$C$41:$C$364,$D$4,Assumptions!$E$41:$E$364,$C22))/2)*(Assumptions!$D$19/6.57%))+Assumptions!$D$20*S22*H22/365)</f>
        <v>3.31799255459252</v>
      </c>
      <c r="U22" s="16" t="n">
        <f aca="false">SUMIFS(Assumptions!$AJ$41:$AJ$364,Assumptions!$C$41:$C$364,$D$4,Assumptions!$E$41:$E$364,$C22)</f>
        <v>0.66925</v>
      </c>
      <c r="V22" s="16" t="n">
        <f aca="false">SUMIFS(Assumptions!$AK$41:$AK$364,Assumptions!$C$41:$C$364,$D$4,Assumptions!$E$41:$E$364,$C22)+SUMIFS(Assumptions!$AL$41:$AL$364,Assumptions!$C$41:$C$364,$D$4,Assumptions!$E$41:$E$364,$C22)</f>
        <v>1.625</v>
      </c>
      <c r="W22" s="16" t="n">
        <f aca="false">W21+(SUMIFS(Assumptions!$V$41:$V$364,Assumptions!$C$41:$C$364,$D$4,Assumptions!$E$41:$E$364,$C22)-SUMIFS(Assumptions!$U$41:$U$364,Assumptions!$C$41:$C$364,$D$4,Assumptions!$E$41:$E$364,$C22))+(Assumptions!$D$25+IF($C22="P001",-SUMIFS(Assumptions!$L$41:$L$364,Assumptions!$C$41:$C$364,$D$4,Assumptions!$E$41:$E$364,$C22)/365*Assumptions!$D$23,0))+(IF((Assumptions!$D$25+IF($C22="P001",-SUMIFS(Assumptions!$L$41:$L$364,Assumptions!$C$41:$C$364,$D$4,Assumptions!$E$41:$E$364,$C22)/365*Assumptions!$D$23,0))&lt;0,MIN(MAX(0,Assumptions!$D$14-Assumptions!$D$16-O22),-(Assumptions!$D$25+IF($C22="P001",-SUMIFS(Assumptions!$L$41:$L$364,Assumptions!$C$41:$C$364,$D$4,Assumptions!$E$41:$E$364,$C22)/365*Assumptions!$D$23,0))),0))-(IF((Assumptions!$D$25+IF($C22="P001",-SUMIFS(Assumptions!$L$41:$L$364,Assumptions!$C$41:$C$364,$D$4,Assumptions!$E$41:$E$364,$C22)/365*Assumptions!$D$23,0))&gt;0,MIN(O22,(Assumptions!$D$25+IF($C22="P001",-SUMIFS(Assumptions!$L$41:$L$364,Assumptions!$C$41:$C$364,$D$4,Assumptions!$E$41:$E$364,$C22)/365*Assumptions!$D$23,0))),0))</f>
        <v>25</v>
      </c>
      <c r="X22" s="16" t="n">
        <f aca="false">N22+R22</f>
        <v>606.224093584653</v>
      </c>
      <c r="Y22" s="16" t="n">
        <f aca="false">Assumptions!$D$17</f>
        <v>62.619</v>
      </c>
      <c r="Z22" s="16" t="n">
        <f aca="false">X22+Y22</f>
        <v>668.843093584653</v>
      </c>
      <c r="AA22" s="16" t="n">
        <f aca="false">MAX(0,Assumptions!$D$14-Assumptions!$D$16-R22)</f>
        <v>286.857156415347</v>
      </c>
      <c r="AB22" s="16" t="n">
        <f aca="false">MAX(0,W22-Assumptions!$D$24)+AA22</f>
        <v>286.857156415347</v>
      </c>
      <c r="AC22" s="16" t="n">
        <f aca="false">SUMIFS(Assumptions!$AM$41:$AM$364,Assumptions!$C$41:$C$364,$D$4,Assumptions!$E$41:$E$364,$C22)+MAX(0,-W22)</f>
        <v>0</v>
      </c>
      <c r="AD22" s="14" t="str">
        <f aca="false">IF(COUNTIFS(Assumptions!$C$41:$C$364,$D$4,Assumptions!$E$41:$E$364,$C22,Assumptions!$AR$41:$AR$364,"*shutoff_active*")&gt;0,"SHUTOFF","AVAILABLE")</f>
        <v>AVAILABLE</v>
      </c>
    </row>
    <row r="23" customFormat="false" ht="15" hidden="false" customHeight="false" outlineLevel="0" collapsed="false">
      <c r="C23" s="14" t="s">
        <v>307</v>
      </c>
      <c r="D23" s="29" t="n">
        <v>46418</v>
      </c>
      <c r="E23" s="14" t="s">
        <v>253</v>
      </c>
      <c r="F23" s="14" t="s">
        <v>302</v>
      </c>
      <c r="G23" s="14" t="s">
        <v>303</v>
      </c>
      <c r="H23" s="14" t="n">
        <v>31</v>
      </c>
      <c r="I23" s="16" t="n">
        <f aca="false">SUMIFS(Assumptions!$T$41:$T$364,Assumptions!$C$41:$C$364,$D$4,Assumptions!$E$41:$E$364,$C23)+(Assumptions!$D$25+IF($C23="P001",-SUMIFS(Assumptions!$L$41:$L$364,Assumptions!$C$41:$C$364,$D$4,Assumptions!$E$41:$E$364,$C23)/365*Assumptions!$D$23,0))</f>
        <v>5.21613012230203</v>
      </c>
      <c r="J23" s="16" t="n">
        <f aca="false">N22</f>
        <v>599.28125</v>
      </c>
      <c r="K23" s="16" t="n">
        <f aca="false">SUMIFS(Assumptions!$Y$41:$Y$364,Assumptions!$C$41:$C$364,$D$4,Assumptions!$E$41:$E$364,$C23)*(Assumptions!$D$12/635)*(Assumptions!$D$18/7.5%)</f>
        <v>11.90625</v>
      </c>
      <c r="L23" s="16" t="n">
        <f aca="false">SUMIFS(Assumptions!$Z$41:$Z$364,Assumptions!$C$41:$C$364,$D$4,Assumptions!$E$41:$E$364,$C23)*(Assumptions!$D$26/50%)*IF(SUMIFS(Assumptions!$AO$41:$AO$364,Assumptions!$C$41:$C$364,$D$4,Assumptions!$E$41:$E$364,$C23)&gt;Assumptions!$D$24,1,0)</f>
        <v>0</v>
      </c>
      <c r="M23" s="16" t="n">
        <f aca="false">SUMIFS(Assumptions!$AB$41:$AB$364,Assumptions!$C$41:$C$364,$D$4,Assumptions!$E$41:$E$364,$C23)</f>
        <v>0</v>
      </c>
      <c r="N23" s="16" t="n">
        <f aca="false">MAX(0,J23-K23-L23-M23)</f>
        <v>587.375</v>
      </c>
      <c r="O23" s="16" t="n">
        <f aca="false">R22</f>
        <v>6.94284358465319</v>
      </c>
      <c r="P23" s="16" t="n">
        <f aca="false">SUMIFS(Assumptions!$AE$41:$AE$364,Assumptions!$C$41:$C$364,$D$4,Assumptions!$E$41:$E$364,$C23)+IF((Assumptions!$D$25+IF($C23="P001",-SUMIFS(Assumptions!$L$41:$L$364,Assumptions!$C$41:$C$364,$D$4,Assumptions!$E$41:$E$364,$C23)/365*Assumptions!$D$23,0))&lt;0,MIN(MAX(0,Assumptions!$D$14-Assumptions!$D$16-O23),-(Assumptions!$D$25+IF($C23="P001",-SUMIFS(Assumptions!$L$41:$L$364,Assumptions!$C$41:$C$364,$D$4,Assumptions!$E$41:$E$364,$C23)/365*Assumptions!$D$23,0))),0)</f>
        <v>12.3045371010111</v>
      </c>
      <c r="Q23" s="16" t="n">
        <f aca="false">SUMIFS(Assumptions!$AF$41:$AF$364,Assumptions!$C$41:$C$364,$D$4,Assumptions!$E$41:$E$364,$C23)+IF((Assumptions!$D$25+IF($C23="P001",-SUMIFS(Assumptions!$L$41:$L$364,Assumptions!$C$41:$C$364,$D$4,Assumptions!$E$41:$E$364,$C23)/365*Assumptions!$D$23,0))&gt;0,MIN(O23,(Assumptions!$D$25+IF($C23="P001",-SUMIFS(Assumptions!$L$41:$L$364,Assumptions!$C$41:$C$364,$D$4,Assumptions!$E$41:$E$364,$C23)/365*Assumptions!$D$23,0))),0)</f>
        <v>0</v>
      </c>
      <c r="R23" s="16" t="n">
        <f aca="false">MAX(0,O23+P23-Q23)</f>
        <v>19.2473806856643</v>
      </c>
      <c r="S23" s="16" t="n">
        <f aca="false">(J23+N23+O23+R23)/2</f>
        <v>606.423237135159</v>
      </c>
      <c r="T23" s="16" t="n">
        <f aca="false">IF(Assumptions!$D$19="","",IF(((SUMIFS(Assumptions!$W$41:$W$364,Assumptions!$C$41:$C$364,$D$4,Assumptions!$E$41:$E$364,$C23)+SUMIFS(Assumptions!$AC$41:$AC$364,Assumptions!$C$41:$C$364,$D$4,Assumptions!$E$41:$E$364,$C23)+SUMIFS(Assumptions!$AD$41:$AD$364,Assumptions!$C$41:$C$364,$D$4,Assumptions!$E$41:$E$364,$C23)+SUMIFS(Assumptions!$AG$41:$AG$364,Assumptions!$C$41:$C$364,$D$4,Assumptions!$E$41:$E$364,$C23))/2)=0,0,SUMIFS(Assumptions!$AI$41:$AI$364,Assumptions!$C$41:$C$364,$D$4,Assumptions!$E$41:$E$364,$C23)*S23/((SUMIFS(Assumptions!$W$41:$W$364,Assumptions!$C$41:$C$364,$D$4,Assumptions!$E$41:$E$364,$C23)+SUMIFS(Assumptions!$AC$41:$AC$364,Assumptions!$C$41:$C$364,$D$4,Assumptions!$E$41:$E$364,$C23)+SUMIFS(Assumptions!$AD$41:$AD$364,Assumptions!$C$41:$C$364,$D$4,Assumptions!$E$41:$E$364,$C23)+SUMIFS(Assumptions!$AG$41:$AG$364,Assumptions!$C$41:$C$364,$D$4,Assumptions!$E$41:$E$364,$C23))/2)*(Assumptions!$D$19/6.57%))+Assumptions!$D$20*S23*H23/365)</f>
        <v>3.32016722331311</v>
      </c>
      <c r="U23" s="16" t="n">
        <f aca="false">SUMIFS(Assumptions!$AJ$41:$AJ$364,Assumptions!$C$41:$C$364,$D$4,Assumptions!$E$41:$E$364,$C23)</f>
        <v>0.66925</v>
      </c>
      <c r="V23" s="16" t="n">
        <f aca="false">SUMIFS(Assumptions!$AK$41:$AK$364,Assumptions!$C$41:$C$364,$D$4,Assumptions!$E$41:$E$364,$C23)+SUMIFS(Assumptions!$AL$41:$AL$364,Assumptions!$C$41:$C$364,$D$4,Assumptions!$E$41:$E$364,$C23)</f>
        <v>1.625</v>
      </c>
      <c r="W23" s="16" t="n">
        <f aca="false">W22+(SUMIFS(Assumptions!$V$41:$V$364,Assumptions!$C$41:$C$364,$D$4,Assumptions!$E$41:$E$364,$C23)-SUMIFS(Assumptions!$U$41:$U$364,Assumptions!$C$41:$C$364,$D$4,Assumptions!$E$41:$E$364,$C23))+(Assumptions!$D$25+IF($C23="P001",-SUMIFS(Assumptions!$L$41:$L$364,Assumptions!$C$41:$C$364,$D$4,Assumptions!$E$41:$E$364,$C23)/365*Assumptions!$D$23,0))+(IF((Assumptions!$D$25+IF($C23="P001",-SUMIFS(Assumptions!$L$41:$L$364,Assumptions!$C$41:$C$364,$D$4,Assumptions!$E$41:$E$364,$C23)/365*Assumptions!$D$23,0))&lt;0,MIN(MAX(0,Assumptions!$D$14-Assumptions!$D$16-O23),-(Assumptions!$D$25+IF($C23="P001",-SUMIFS(Assumptions!$L$41:$L$364,Assumptions!$C$41:$C$364,$D$4,Assumptions!$E$41:$E$364,$C23)/365*Assumptions!$D$23,0))),0))-(IF((Assumptions!$D$25+IF($C23="P001",-SUMIFS(Assumptions!$L$41:$L$364,Assumptions!$C$41:$C$364,$D$4,Assumptions!$E$41:$E$364,$C23)/365*Assumptions!$D$23,0))&gt;0,MIN(O23,(Assumptions!$D$25+IF($C23="P001",-SUMIFS(Assumptions!$L$41:$L$364,Assumptions!$C$41:$C$364,$D$4,Assumptions!$E$41:$E$364,$C23)/365*Assumptions!$D$23,0))),0))</f>
        <v>25</v>
      </c>
      <c r="X23" s="16" t="n">
        <f aca="false">N23+R23</f>
        <v>606.622380685664</v>
      </c>
      <c r="Y23" s="16" t="n">
        <f aca="false">Assumptions!$D$17</f>
        <v>62.619</v>
      </c>
      <c r="Z23" s="16" t="n">
        <f aca="false">X23+Y23</f>
        <v>669.241380685664</v>
      </c>
      <c r="AA23" s="16" t="n">
        <f aca="false">MAX(0,Assumptions!$D$14-Assumptions!$D$16-R23)</f>
        <v>274.552619314336</v>
      </c>
      <c r="AB23" s="16" t="n">
        <f aca="false">MAX(0,W23-Assumptions!$D$24)+AA23</f>
        <v>274.552619314336</v>
      </c>
      <c r="AC23" s="16" t="n">
        <f aca="false">SUMIFS(Assumptions!$AM$41:$AM$364,Assumptions!$C$41:$C$364,$D$4,Assumptions!$E$41:$E$364,$C23)+MAX(0,-W23)</f>
        <v>0</v>
      </c>
      <c r="AD23" s="14" t="str">
        <f aca="false">IF(COUNTIFS(Assumptions!$C$41:$C$364,$D$4,Assumptions!$E$41:$E$364,$C23,Assumptions!$AR$41:$AR$364,"*shutoff_active*")&gt;0,"SHUTOFF","AVAILABLE")</f>
        <v>AVAILABLE</v>
      </c>
    </row>
    <row r="24" customFormat="false" ht="15" hidden="false" customHeight="false" outlineLevel="0" collapsed="false">
      <c r="C24" s="14" t="s">
        <v>309</v>
      </c>
      <c r="D24" s="29" t="n">
        <v>46446</v>
      </c>
      <c r="E24" s="14" t="s">
        <v>253</v>
      </c>
      <c r="F24" s="14" t="s">
        <v>302</v>
      </c>
      <c r="G24" s="14" t="s">
        <v>255</v>
      </c>
      <c r="H24" s="14" t="n">
        <v>28</v>
      </c>
      <c r="I24" s="16" t="n">
        <f aca="false">SUMIFS(Assumptions!$T$41:$T$364,Assumptions!$C$41:$C$364,$D$4,Assumptions!$E$41:$E$364,$C24)+(Assumptions!$D$25+IF($C24="P001",-SUMIFS(Assumptions!$L$41:$L$364,Assumptions!$C$41:$C$364,$D$4,Assumptions!$E$41:$E$364,$C24)/365*Assumptions!$D$23,0))</f>
        <v>12.6409737061808</v>
      </c>
      <c r="J24" s="16" t="n">
        <f aca="false">N23</f>
        <v>587.375</v>
      </c>
      <c r="K24" s="16" t="n">
        <f aca="false">SUMIFS(Assumptions!$Y$41:$Y$364,Assumptions!$C$41:$C$364,$D$4,Assumptions!$E$41:$E$364,$C24)*(Assumptions!$D$12/635)*(Assumptions!$D$18/7.5%)</f>
        <v>0</v>
      </c>
      <c r="L24" s="16" t="n">
        <f aca="false">SUMIFS(Assumptions!$Z$41:$Z$364,Assumptions!$C$41:$C$364,$D$4,Assumptions!$E$41:$E$364,$C24)*(Assumptions!$D$26/50%)*IF(SUMIFS(Assumptions!$AO$41:$AO$364,Assumptions!$C$41:$C$364,$D$4,Assumptions!$E$41:$E$364,$C24)&gt;Assumptions!$D$24,1,0)</f>
        <v>0</v>
      </c>
      <c r="M24" s="16" t="n">
        <f aca="false">SUMIFS(Assumptions!$AB$41:$AB$364,Assumptions!$C$41:$C$364,$D$4,Assumptions!$E$41:$E$364,$C24)</f>
        <v>0</v>
      </c>
      <c r="N24" s="16" t="n">
        <f aca="false">MAX(0,J24-K24-L24-M24)</f>
        <v>587.375</v>
      </c>
      <c r="O24" s="16" t="n">
        <f aca="false">R23</f>
        <v>19.2473806856643</v>
      </c>
      <c r="P24" s="16" t="n">
        <f aca="false">SUMIFS(Assumptions!$AE$41:$AE$364,Assumptions!$C$41:$C$364,$D$4,Assumptions!$E$41:$E$364,$C24)+IF((Assumptions!$D$25+IF($C24="P001",-SUMIFS(Assumptions!$L$41:$L$364,Assumptions!$C$41:$C$364,$D$4,Assumptions!$E$41:$E$364,$C24)/365*Assumptions!$D$23,0))&lt;0,MIN(MAX(0,Assumptions!$D$14-Assumptions!$D$16-O24),-(Assumptions!$D$25+IF($C24="P001",-SUMIFS(Assumptions!$L$41:$L$364,Assumptions!$C$41:$C$364,$D$4,Assumptions!$E$41:$E$364,$C24)/365*Assumptions!$D$23,0))),0)</f>
        <v>0</v>
      </c>
      <c r="Q24" s="16" t="n">
        <f aca="false">SUMIFS(Assumptions!$AF$41:$AF$364,Assumptions!$C$41:$C$364,$D$4,Assumptions!$E$41:$E$364,$C24)+IF((Assumptions!$D$25+IF($C24="P001",-SUMIFS(Assumptions!$L$41:$L$364,Assumptions!$C$41:$C$364,$D$4,Assumptions!$E$41:$E$364,$C24)/365*Assumptions!$D$23,0))&gt;0,MIN(O24,(Assumptions!$D$25+IF($C24="P001",-SUMIFS(Assumptions!$L$41:$L$364,Assumptions!$C$41:$C$364,$D$4,Assumptions!$E$41:$E$364,$C24)/365*Assumptions!$D$23,0))),0)</f>
        <v>7.04475117827626</v>
      </c>
      <c r="R24" s="16" t="n">
        <f aca="false">MAX(0,O24+P24-Q24)</f>
        <v>12.202629507388</v>
      </c>
      <c r="S24" s="16" t="n">
        <f aca="false">(J24+N24+O24+R24)/2</f>
        <v>603.100005096526</v>
      </c>
      <c r="T24" s="16" t="n">
        <f aca="false">IF(Assumptions!$D$19="","",IF(((SUMIFS(Assumptions!$W$41:$W$364,Assumptions!$C$41:$C$364,$D$4,Assumptions!$E$41:$E$364,$C24)+SUMIFS(Assumptions!$AC$41:$AC$364,Assumptions!$C$41:$C$364,$D$4,Assumptions!$E$41:$E$364,$C24)+SUMIFS(Assumptions!$AD$41:$AD$364,Assumptions!$C$41:$C$364,$D$4,Assumptions!$E$41:$E$364,$C24)+SUMIFS(Assumptions!$AG$41:$AG$364,Assumptions!$C$41:$C$364,$D$4,Assumptions!$E$41:$E$364,$C24))/2)=0,0,SUMIFS(Assumptions!$AI$41:$AI$364,Assumptions!$C$41:$C$364,$D$4,Assumptions!$E$41:$E$364,$C24)*S24/((SUMIFS(Assumptions!$W$41:$W$364,Assumptions!$C$41:$C$364,$D$4,Assumptions!$E$41:$E$364,$C24)+SUMIFS(Assumptions!$AC$41:$AC$364,Assumptions!$C$41:$C$364,$D$4,Assumptions!$E$41:$E$364,$C24)+SUMIFS(Assumptions!$AD$41:$AD$364,Assumptions!$C$41:$C$364,$D$4,Assumptions!$E$41:$E$364,$C24)+SUMIFS(Assumptions!$AG$41:$AG$364,Assumptions!$C$41:$C$364,$D$4,Assumptions!$E$41:$E$364,$C24))/2)*(Assumptions!$D$19/6.57%))+Assumptions!$D$20*S24*H24/365)</f>
        <v>3.30197252790456</v>
      </c>
      <c r="U24" s="16" t="n">
        <f aca="false">SUMIFS(Assumptions!$AJ$41:$AJ$364,Assumptions!$C$41:$C$364,$D$4,Assumptions!$E$41:$E$364,$C24)</f>
        <v>0.66925</v>
      </c>
      <c r="V24" s="16" t="n">
        <f aca="false">SUMIFS(Assumptions!$AK$41:$AK$364,Assumptions!$C$41:$C$364,$D$4,Assumptions!$E$41:$E$364,$C24)+SUMIFS(Assumptions!$AL$41:$AL$364,Assumptions!$C$41:$C$364,$D$4,Assumptions!$E$41:$E$364,$C24)</f>
        <v>1.625</v>
      </c>
      <c r="W24" s="16" t="n">
        <f aca="false">W23+(SUMIFS(Assumptions!$V$41:$V$364,Assumptions!$C$41:$C$364,$D$4,Assumptions!$E$41:$E$364,$C24)-SUMIFS(Assumptions!$U$41:$U$364,Assumptions!$C$41:$C$364,$D$4,Assumptions!$E$41:$E$364,$C24))+(Assumptions!$D$25+IF($C24="P001",-SUMIFS(Assumptions!$L$41:$L$364,Assumptions!$C$41:$C$364,$D$4,Assumptions!$E$41:$E$364,$C24)/365*Assumptions!$D$23,0))+(IF((Assumptions!$D$25+IF($C24="P001",-SUMIFS(Assumptions!$L$41:$L$364,Assumptions!$C$41:$C$364,$D$4,Assumptions!$E$41:$E$364,$C24)/365*Assumptions!$D$23,0))&lt;0,MIN(MAX(0,Assumptions!$D$14-Assumptions!$D$16-O24),-(Assumptions!$D$25+IF($C24="P001",-SUMIFS(Assumptions!$L$41:$L$364,Assumptions!$C$41:$C$364,$D$4,Assumptions!$E$41:$E$364,$C24)/365*Assumptions!$D$23,0))),0))-(IF((Assumptions!$D$25+IF($C24="P001",-SUMIFS(Assumptions!$L$41:$L$364,Assumptions!$C$41:$C$364,$D$4,Assumptions!$E$41:$E$364,$C24)/365*Assumptions!$D$23,0))&gt;0,MIN(O24,(Assumptions!$D$25+IF($C24="P001",-SUMIFS(Assumptions!$L$41:$L$364,Assumptions!$C$41:$C$364,$D$4,Assumptions!$E$41:$E$364,$C24)/365*Assumptions!$D$23,0))),0))</f>
        <v>25</v>
      </c>
      <c r="X24" s="16" t="n">
        <f aca="false">N24+R24</f>
        <v>599.577629507388</v>
      </c>
      <c r="Y24" s="16" t="n">
        <f aca="false">Assumptions!$D$17</f>
        <v>62.619</v>
      </c>
      <c r="Z24" s="16" t="n">
        <f aca="false">X24+Y24</f>
        <v>662.196629507388</v>
      </c>
      <c r="AA24" s="16" t="n">
        <f aca="false">MAX(0,Assumptions!$D$14-Assumptions!$D$16-R24)</f>
        <v>281.597370492612</v>
      </c>
      <c r="AB24" s="16" t="n">
        <f aca="false">MAX(0,W24-Assumptions!$D$24)+AA24</f>
        <v>281.597370492612</v>
      </c>
      <c r="AC24" s="16" t="n">
        <f aca="false">SUMIFS(Assumptions!$AM$41:$AM$364,Assumptions!$C$41:$C$364,$D$4,Assumptions!$E$41:$E$364,$C24)+MAX(0,-W24)</f>
        <v>0</v>
      </c>
      <c r="AD24" s="14" t="str">
        <f aca="false">IF(COUNTIFS(Assumptions!$C$41:$C$364,$D$4,Assumptions!$E$41:$E$364,$C24,Assumptions!$AR$41:$AR$364,"*shutoff_active*")&gt;0,"SHUTOFF","AVAILABLE")</f>
        <v>AVAILABLE</v>
      </c>
    </row>
    <row r="25" customFormat="false" ht="15" hidden="false" customHeight="false" outlineLevel="0" collapsed="false">
      <c r="C25" s="14" t="s">
        <v>311</v>
      </c>
      <c r="D25" s="29" t="n">
        <v>46477</v>
      </c>
      <c r="E25" s="14" t="s">
        <v>253</v>
      </c>
      <c r="F25" s="14" t="s">
        <v>302</v>
      </c>
      <c r="G25" s="14" t="s">
        <v>255</v>
      </c>
      <c r="H25" s="14" t="n">
        <v>31</v>
      </c>
      <c r="I25" s="16" t="n">
        <f aca="false">SUMIFS(Assumptions!$T$41:$T$364,Assumptions!$C$41:$C$364,$D$4,Assumptions!$E$41:$E$364,$C25)+(Assumptions!$D$25+IF($C25="P001",-SUMIFS(Assumptions!$L$41:$L$364,Assumptions!$C$41:$C$364,$D$4,Assumptions!$E$41:$E$364,$C25)/365*Assumptions!$D$23,0))</f>
        <v>12.6409737061808</v>
      </c>
      <c r="J25" s="16" t="n">
        <f aca="false">N24</f>
        <v>587.375</v>
      </c>
      <c r="K25" s="16" t="n">
        <f aca="false">SUMIFS(Assumptions!$Y$41:$Y$364,Assumptions!$C$41:$C$364,$D$4,Assumptions!$E$41:$E$364,$C25)*(Assumptions!$D$12/635)*(Assumptions!$D$18/7.5%)</f>
        <v>0</v>
      </c>
      <c r="L25" s="16" t="n">
        <f aca="false">SUMIFS(Assumptions!$Z$41:$Z$364,Assumptions!$C$41:$C$364,$D$4,Assumptions!$E$41:$E$364,$C25)*(Assumptions!$D$26/50%)*IF(SUMIFS(Assumptions!$AO$41:$AO$364,Assumptions!$C$41:$C$364,$D$4,Assumptions!$E$41:$E$364,$C25)&gt;Assumptions!$D$24,1,0)</f>
        <v>0</v>
      </c>
      <c r="M25" s="16" t="n">
        <f aca="false">SUMIFS(Assumptions!$AB$41:$AB$364,Assumptions!$C$41:$C$364,$D$4,Assumptions!$E$41:$E$364,$C25)</f>
        <v>0</v>
      </c>
      <c r="N25" s="16" t="n">
        <f aca="false">MAX(0,J25-K25-L25-M25)</f>
        <v>587.375</v>
      </c>
      <c r="O25" s="16" t="n">
        <f aca="false">R24</f>
        <v>12.202629507388</v>
      </c>
      <c r="P25" s="16" t="n">
        <f aca="false">SUMIFS(Assumptions!$AE$41:$AE$364,Assumptions!$C$41:$C$364,$D$4,Assumptions!$E$41:$E$364,$C25)+IF((Assumptions!$D$25+IF($C25="P001",-SUMIFS(Assumptions!$L$41:$L$364,Assumptions!$C$41:$C$364,$D$4,Assumptions!$E$41:$E$364,$C25)/365*Assumptions!$D$23,0))&lt;0,MIN(MAX(0,Assumptions!$D$14-Assumptions!$D$16-O25),-(Assumptions!$D$25+IF($C25="P001",-SUMIFS(Assumptions!$L$41:$L$364,Assumptions!$C$41:$C$364,$D$4,Assumptions!$E$41:$E$364,$C25)/365*Assumptions!$D$23,0))),0)</f>
        <v>0</v>
      </c>
      <c r="Q25" s="16" t="n">
        <f aca="false">SUMIFS(Assumptions!$AF$41:$AF$364,Assumptions!$C$41:$C$364,$D$4,Assumptions!$E$41:$E$364,$C25)+IF((Assumptions!$D$25+IF($C25="P001",-SUMIFS(Assumptions!$L$41:$L$364,Assumptions!$C$41:$C$364,$D$4,Assumptions!$E$41:$E$364,$C25)/365*Assumptions!$D$23,0))&gt;0,MIN(O25,(Assumptions!$D$25+IF($C25="P001",-SUMIFS(Assumptions!$L$41:$L$364,Assumptions!$C$41:$C$364,$D$4,Assumptions!$E$41:$E$364,$C25)/365*Assumptions!$D$23,0))),0)</f>
        <v>7.08342706622056</v>
      </c>
      <c r="R25" s="16" t="n">
        <f aca="false">MAX(0,O25+P25-Q25)</f>
        <v>5.11920244116747</v>
      </c>
      <c r="S25" s="16" t="n">
        <f aca="false">(J25+N25+O25+R25)/2</f>
        <v>596.035915974278</v>
      </c>
      <c r="T25" s="16" t="n">
        <f aca="false">IF(Assumptions!$D$19="","",IF(((SUMIFS(Assumptions!$W$41:$W$364,Assumptions!$C$41:$C$364,$D$4,Assumptions!$E$41:$E$364,$C25)+SUMIFS(Assumptions!$AC$41:$AC$364,Assumptions!$C$41:$C$364,$D$4,Assumptions!$E$41:$E$364,$C25)+SUMIFS(Assumptions!$AD$41:$AD$364,Assumptions!$C$41:$C$364,$D$4,Assumptions!$E$41:$E$364,$C25)+SUMIFS(Assumptions!$AG$41:$AG$364,Assumptions!$C$41:$C$364,$D$4,Assumptions!$E$41:$E$364,$C25))/2)=0,0,SUMIFS(Assumptions!$AI$41:$AI$364,Assumptions!$C$41:$C$364,$D$4,Assumptions!$E$41:$E$364,$C25)*S25/((SUMIFS(Assumptions!$W$41:$W$364,Assumptions!$C$41:$C$364,$D$4,Assumptions!$E$41:$E$364,$C25)+SUMIFS(Assumptions!$AC$41:$AC$364,Assumptions!$C$41:$C$364,$D$4,Assumptions!$E$41:$E$364,$C25)+SUMIFS(Assumptions!$AD$41:$AD$364,Assumptions!$C$41:$C$364,$D$4,Assumptions!$E$41:$E$364,$C25)+SUMIFS(Assumptions!$AG$41:$AG$364,Assumptions!$C$41:$C$364,$D$4,Assumptions!$E$41:$E$364,$C25))/2)*(Assumptions!$D$19/6.57%))+Assumptions!$D$20*S25*H25/365)</f>
        <v>3.26329663996026</v>
      </c>
      <c r="U25" s="16" t="n">
        <f aca="false">SUMIFS(Assumptions!$AJ$41:$AJ$364,Assumptions!$C$41:$C$364,$D$4,Assumptions!$E$41:$E$364,$C25)</f>
        <v>0.66925</v>
      </c>
      <c r="V25" s="16" t="n">
        <f aca="false">SUMIFS(Assumptions!$AK$41:$AK$364,Assumptions!$C$41:$C$364,$D$4,Assumptions!$E$41:$E$364,$C25)+SUMIFS(Assumptions!$AL$41:$AL$364,Assumptions!$C$41:$C$364,$D$4,Assumptions!$E$41:$E$364,$C25)</f>
        <v>1.625</v>
      </c>
      <c r="W25" s="16" t="n">
        <f aca="false">W24+(SUMIFS(Assumptions!$V$41:$V$364,Assumptions!$C$41:$C$364,$D$4,Assumptions!$E$41:$E$364,$C25)-SUMIFS(Assumptions!$U$41:$U$364,Assumptions!$C$41:$C$364,$D$4,Assumptions!$E$41:$E$364,$C25))+(Assumptions!$D$25+IF($C25="P001",-SUMIFS(Assumptions!$L$41:$L$364,Assumptions!$C$41:$C$364,$D$4,Assumptions!$E$41:$E$364,$C25)/365*Assumptions!$D$23,0))+(IF((Assumptions!$D$25+IF($C25="P001",-SUMIFS(Assumptions!$L$41:$L$364,Assumptions!$C$41:$C$364,$D$4,Assumptions!$E$41:$E$364,$C25)/365*Assumptions!$D$23,0))&lt;0,MIN(MAX(0,Assumptions!$D$14-Assumptions!$D$16-O25),-(Assumptions!$D$25+IF($C25="P001",-SUMIFS(Assumptions!$L$41:$L$364,Assumptions!$C$41:$C$364,$D$4,Assumptions!$E$41:$E$364,$C25)/365*Assumptions!$D$23,0))),0))-(IF((Assumptions!$D$25+IF($C25="P001",-SUMIFS(Assumptions!$L$41:$L$364,Assumptions!$C$41:$C$364,$D$4,Assumptions!$E$41:$E$364,$C25)/365*Assumptions!$D$23,0))&gt;0,MIN(O25,(Assumptions!$D$25+IF($C25="P001",-SUMIFS(Assumptions!$L$41:$L$364,Assumptions!$C$41:$C$364,$D$4,Assumptions!$E$41:$E$364,$C25)/365*Assumptions!$D$23,0))),0))</f>
        <v>25</v>
      </c>
      <c r="X25" s="16" t="n">
        <f aca="false">N25+R25</f>
        <v>592.494202441167</v>
      </c>
      <c r="Y25" s="16" t="n">
        <f aca="false">Assumptions!$D$17</f>
        <v>62.619</v>
      </c>
      <c r="Z25" s="16" t="n">
        <f aca="false">X25+Y25</f>
        <v>655.113202441168</v>
      </c>
      <c r="AA25" s="16" t="n">
        <f aca="false">MAX(0,Assumptions!$D$14-Assumptions!$D$16-R25)</f>
        <v>288.680797558833</v>
      </c>
      <c r="AB25" s="16" t="n">
        <f aca="false">MAX(0,W25-Assumptions!$D$24)+AA25</f>
        <v>288.680797558833</v>
      </c>
      <c r="AC25" s="16" t="n">
        <f aca="false">SUMIFS(Assumptions!$AM$41:$AM$364,Assumptions!$C$41:$C$364,$D$4,Assumptions!$E$41:$E$364,$C25)+MAX(0,-W25)</f>
        <v>0</v>
      </c>
      <c r="AD25" s="14" t="str">
        <f aca="false">IF(COUNTIFS(Assumptions!$C$41:$C$364,$D$4,Assumptions!$E$41:$E$364,$C25,Assumptions!$AR$41:$AR$364,"*shutoff_active*")&gt;0,"SHUTOFF","AVAILABLE")</f>
        <v>AVAILABLE</v>
      </c>
    </row>
    <row r="26" customFormat="false" ht="15" hidden="false" customHeight="false" outlineLevel="0" collapsed="false">
      <c r="C26" s="14" t="s">
        <v>313</v>
      </c>
      <c r="D26" s="29" t="n">
        <v>46507</v>
      </c>
      <c r="E26" s="14" t="s">
        <v>253</v>
      </c>
      <c r="F26" s="14" t="s">
        <v>302</v>
      </c>
      <c r="G26" s="14" t="s">
        <v>255</v>
      </c>
      <c r="H26" s="14" t="n">
        <v>30</v>
      </c>
      <c r="I26" s="16" t="n">
        <f aca="false">SUMIFS(Assumptions!$T$41:$T$364,Assumptions!$C$41:$C$364,$D$4,Assumptions!$E$41:$E$364,$C26)+(Assumptions!$D$25+IF($C26="P001",-SUMIFS(Assumptions!$L$41:$L$364,Assumptions!$C$41:$C$364,$D$4,Assumptions!$E$41:$E$364,$C26)/365*Assumptions!$D$23,0))</f>
        <v>12.6409737061808</v>
      </c>
      <c r="J26" s="16" t="n">
        <f aca="false">N25</f>
        <v>587.375</v>
      </c>
      <c r="K26" s="16" t="n">
        <f aca="false">SUMIFS(Assumptions!$Y$41:$Y$364,Assumptions!$C$41:$C$364,$D$4,Assumptions!$E$41:$E$364,$C26)*(Assumptions!$D$12/635)*(Assumptions!$D$18/7.5%)</f>
        <v>11.90625</v>
      </c>
      <c r="L26" s="16" t="n">
        <f aca="false">SUMIFS(Assumptions!$Z$41:$Z$364,Assumptions!$C$41:$C$364,$D$4,Assumptions!$E$41:$E$364,$C26)*(Assumptions!$D$26/50%)*IF(SUMIFS(Assumptions!$AO$41:$AO$364,Assumptions!$C$41:$C$364,$D$4,Assumptions!$E$41:$E$364,$C26)&gt;Assumptions!$D$24,1,0)</f>
        <v>0</v>
      </c>
      <c r="M26" s="16" t="n">
        <f aca="false">SUMIFS(Assumptions!$AB$41:$AB$364,Assumptions!$C$41:$C$364,$D$4,Assumptions!$E$41:$E$364,$C26)</f>
        <v>0</v>
      </c>
      <c r="N26" s="16" t="n">
        <f aca="false">MAX(0,J26-K26-L26-M26)</f>
        <v>575.46875</v>
      </c>
      <c r="O26" s="16" t="n">
        <f aca="false">R25</f>
        <v>5.11920244116747</v>
      </c>
      <c r="P26" s="16" t="n">
        <f aca="false">SUMIFS(Assumptions!$AE$41:$AE$364,Assumptions!$C$41:$C$364,$D$4,Assumptions!$E$41:$E$364,$C26)+IF((Assumptions!$D$25+IF($C26="P001",-SUMIFS(Assumptions!$L$41:$L$364,Assumptions!$C$41:$C$364,$D$4,Assumptions!$E$41:$E$364,$C26)/365*Assumptions!$D$23,0))&lt;0,MIN(MAX(0,Assumptions!$D$14-Assumptions!$D$16-O26),-(Assumptions!$D$25+IF($C26="P001",-SUMIFS(Assumptions!$L$41:$L$364,Assumptions!$C$41:$C$364,$D$4,Assumptions!$E$41:$E$364,$C26)/365*Assumptions!$D$23,0))),0)</f>
        <v>4.78393471408866</v>
      </c>
      <c r="Q26" s="16" t="n">
        <f aca="false">SUMIFS(Assumptions!$AF$41:$AF$364,Assumptions!$C$41:$C$364,$D$4,Assumptions!$E$41:$E$364,$C26)+IF((Assumptions!$D$25+IF($C26="P001",-SUMIFS(Assumptions!$L$41:$L$364,Assumptions!$C$41:$C$364,$D$4,Assumptions!$E$41:$E$364,$C26)/365*Assumptions!$D$23,0))&gt;0,MIN(O26,(Assumptions!$D$25+IF($C26="P001",-SUMIFS(Assumptions!$L$41:$L$364,Assumptions!$C$41:$C$364,$D$4,Assumptions!$E$41:$E$364,$C26)/365*Assumptions!$D$23,0))),0)</f>
        <v>0</v>
      </c>
      <c r="R26" s="16" t="n">
        <f aca="false">MAX(0,O26+P26-Q26)</f>
        <v>9.90313715525613</v>
      </c>
      <c r="S26" s="16" t="n">
        <f aca="false">(J26+N26+O26+R26)/2</f>
        <v>588.933044798212</v>
      </c>
      <c r="T26" s="16" t="n">
        <f aca="false">IF(Assumptions!$D$19="","",IF(((SUMIFS(Assumptions!$W$41:$W$364,Assumptions!$C$41:$C$364,$D$4,Assumptions!$E$41:$E$364,$C26)+SUMIFS(Assumptions!$AC$41:$AC$364,Assumptions!$C$41:$C$364,$D$4,Assumptions!$E$41:$E$364,$C26)+SUMIFS(Assumptions!$AD$41:$AD$364,Assumptions!$C$41:$C$364,$D$4,Assumptions!$E$41:$E$364,$C26)+SUMIFS(Assumptions!$AG$41:$AG$364,Assumptions!$C$41:$C$364,$D$4,Assumptions!$E$41:$E$364,$C26))/2)=0,0,SUMIFS(Assumptions!$AI$41:$AI$364,Assumptions!$C$41:$C$364,$D$4,Assumptions!$E$41:$E$364,$C26)*S26/((SUMIFS(Assumptions!$W$41:$W$364,Assumptions!$C$41:$C$364,$D$4,Assumptions!$E$41:$E$364,$C26)+SUMIFS(Assumptions!$AC$41:$AC$364,Assumptions!$C$41:$C$364,$D$4,Assumptions!$E$41:$E$364,$C26)+SUMIFS(Assumptions!$AD$41:$AD$364,Assumptions!$C$41:$C$364,$D$4,Assumptions!$E$41:$E$364,$C26)+SUMIFS(Assumptions!$AG$41:$AG$364,Assumptions!$C$41:$C$364,$D$4,Assumptions!$E$41:$E$364,$C26))/2)*(Assumptions!$D$19/6.57%))+Assumptions!$D$20*S26*H26/365)</f>
        <v>3.22440842026948</v>
      </c>
      <c r="U26" s="16" t="n">
        <f aca="false">SUMIFS(Assumptions!$AJ$41:$AJ$364,Assumptions!$C$41:$C$364,$D$4,Assumptions!$E$41:$E$364,$C26)</f>
        <v>0.66925</v>
      </c>
      <c r="V26" s="16" t="n">
        <f aca="false">SUMIFS(Assumptions!$AK$41:$AK$364,Assumptions!$C$41:$C$364,$D$4,Assumptions!$E$41:$E$364,$C26)+SUMIFS(Assumptions!$AL$41:$AL$364,Assumptions!$C$41:$C$364,$D$4,Assumptions!$E$41:$E$364,$C26)</f>
        <v>1.625</v>
      </c>
      <c r="W26" s="16" t="n">
        <f aca="false">W25+(SUMIFS(Assumptions!$V$41:$V$364,Assumptions!$C$41:$C$364,$D$4,Assumptions!$E$41:$E$364,$C26)-SUMIFS(Assumptions!$U$41:$U$364,Assumptions!$C$41:$C$364,$D$4,Assumptions!$E$41:$E$364,$C26))+(Assumptions!$D$25+IF($C26="P001",-SUMIFS(Assumptions!$L$41:$L$364,Assumptions!$C$41:$C$364,$D$4,Assumptions!$E$41:$E$364,$C26)/365*Assumptions!$D$23,0))+(IF((Assumptions!$D$25+IF($C26="P001",-SUMIFS(Assumptions!$L$41:$L$364,Assumptions!$C$41:$C$364,$D$4,Assumptions!$E$41:$E$364,$C26)/365*Assumptions!$D$23,0))&lt;0,MIN(MAX(0,Assumptions!$D$14-Assumptions!$D$16-O26),-(Assumptions!$D$25+IF($C26="P001",-SUMIFS(Assumptions!$L$41:$L$364,Assumptions!$C$41:$C$364,$D$4,Assumptions!$E$41:$E$364,$C26)/365*Assumptions!$D$23,0))),0))-(IF((Assumptions!$D$25+IF($C26="P001",-SUMIFS(Assumptions!$L$41:$L$364,Assumptions!$C$41:$C$364,$D$4,Assumptions!$E$41:$E$364,$C26)/365*Assumptions!$D$23,0))&gt;0,MIN(O26,(Assumptions!$D$25+IF($C26="P001",-SUMIFS(Assumptions!$L$41:$L$364,Assumptions!$C$41:$C$364,$D$4,Assumptions!$E$41:$E$364,$C26)/365*Assumptions!$D$23,0))),0))</f>
        <v>25</v>
      </c>
      <c r="X26" s="16" t="n">
        <f aca="false">N26+R26</f>
        <v>585.371887155256</v>
      </c>
      <c r="Y26" s="16" t="n">
        <f aca="false">Assumptions!$D$17</f>
        <v>62.619</v>
      </c>
      <c r="Z26" s="16" t="n">
        <f aca="false">X26+Y26</f>
        <v>647.990887155256</v>
      </c>
      <c r="AA26" s="16" t="n">
        <f aca="false">MAX(0,Assumptions!$D$14-Assumptions!$D$16-R26)</f>
        <v>283.896862844744</v>
      </c>
      <c r="AB26" s="16" t="n">
        <f aca="false">MAX(0,W26-Assumptions!$D$24)+AA26</f>
        <v>283.896862844744</v>
      </c>
      <c r="AC26" s="16" t="n">
        <f aca="false">SUMIFS(Assumptions!$AM$41:$AM$364,Assumptions!$C$41:$C$364,$D$4,Assumptions!$E$41:$E$364,$C26)+MAX(0,-W26)</f>
        <v>0</v>
      </c>
      <c r="AD26" s="14" t="str">
        <f aca="false">IF(COUNTIFS(Assumptions!$C$41:$C$364,$D$4,Assumptions!$E$41:$E$364,$C26,Assumptions!$AR$41:$AR$364,"*shutoff_active*")&gt;0,"SHUTOFF","AVAILABLE")</f>
        <v>AVAILABLE</v>
      </c>
    </row>
    <row r="27" customFormat="false" ht="15" hidden="false" customHeight="false" outlineLevel="0" collapsed="false">
      <c r="C27" s="14" t="s">
        <v>315</v>
      </c>
      <c r="D27" s="29" t="n">
        <v>46538</v>
      </c>
      <c r="E27" s="14" t="s">
        <v>253</v>
      </c>
      <c r="F27" s="14" t="s">
        <v>302</v>
      </c>
      <c r="G27" s="14" t="s">
        <v>271</v>
      </c>
      <c r="H27" s="14" t="n">
        <v>31</v>
      </c>
      <c r="I27" s="16" t="n">
        <f aca="false">SUMIFS(Assumptions!$T$41:$T$364,Assumptions!$C$41:$C$364,$D$4,Assumptions!$E$41:$E$364,$C27)+(Assumptions!$D$25+IF($C27="P001",-SUMIFS(Assumptions!$L$41:$L$364,Assumptions!$C$41:$C$364,$D$4,Assumptions!$E$41:$E$364,$C27)/365*Assumptions!$D$23,0))</f>
        <v>12.3766239881776</v>
      </c>
      <c r="J27" s="16" t="n">
        <f aca="false">N26</f>
        <v>575.46875</v>
      </c>
      <c r="K27" s="16" t="n">
        <f aca="false">SUMIFS(Assumptions!$Y$41:$Y$364,Assumptions!$C$41:$C$364,$D$4,Assumptions!$E$41:$E$364,$C27)*(Assumptions!$D$12/635)*(Assumptions!$D$18/7.5%)</f>
        <v>0</v>
      </c>
      <c r="L27" s="16" t="n">
        <f aca="false">SUMIFS(Assumptions!$Z$41:$Z$364,Assumptions!$C$41:$C$364,$D$4,Assumptions!$E$41:$E$364,$C27)*(Assumptions!$D$26/50%)*IF(SUMIFS(Assumptions!$AO$41:$AO$364,Assumptions!$C$41:$C$364,$D$4,Assumptions!$E$41:$E$364,$C27)&gt;Assumptions!$D$24,1,0)</f>
        <v>0</v>
      </c>
      <c r="M27" s="16" t="n">
        <f aca="false">SUMIFS(Assumptions!$AB$41:$AB$364,Assumptions!$C$41:$C$364,$D$4,Assumptions!$E$41:$E$364,$C27)</f>
        <v>0</v>
      </c>
      <c r="N27" s="16" t="n">
        <f aca="false">MAX(0,J27-K27-L27-M27)</f>
        <v>575.46875</v>
      </c>
      <c r="O27" s="16" t="n">
        <f aca="false">R26</f>
        <v>9.90313715525613</v>
      </c>
      <c r="P27" s="16" t="n">
        <f aca="false">SUMIFS(Assumptions!$AE$41:$AE$364,Assumptions!$C$41:$C$364,$D$4,Assumptions!$E$41:$E$364,$C27)+IF((Assumptions!$D$25+IF($C27="P001",-SUMIFS(Assumptions!$L$41:$L$364,Assumptions!$C$41:$C$364,$D$4,Assumptions!$E$41:$E$364,$C27)/365*Assumptions!$D$23,0))&lt;0,MIN(MAX(0,Assumptions!$D$14-Assumptions!$D$16-O27),-(Assumptions!$D$25+IF($C27="P001",-SUMIFS(Assumptions!$L$41:$L$364,Assumptions!$C$41:$C$364,$D$4,Assumptions!$E$41:$E$364,$C27)/365*Assumptions!$D$23,0))),0)</f>
        <v>0</v>
      </c>
      <c r="Q27" s="16" t="n">
        <f aca="false">SUMIFS(Assumptions!$AF$41:$AF$364,Assumptions!$C$41:$C$364,$D$4,Assumptions!$E$41:$E$364,$C27)+IF((Assumptions!$D$25+IF($C27="P001",-SUMIFS(Assumptions!$L$41:$L$364,Assumptions!$C$41:$C$364,$D$4,Assumptions!$E$41:$E$364,$C27)/365*Assumptions!$D$23,0))&gt;0,MIN(O27,(Assumptions!$D$25+IF($C27="P001",-SUMIFS(Assumptions!$L$41:$L$364,Assumptions!$C$41:$C$364,$D$4,Assumptions!$E$41:$E$364,$C27)/365*Assumptions!$D$23,0))),0)</f>
        <v>6.89634164124446</v>
      </c>
      <c r="R27" s="16" t="n">
        <f aca="false">MAX(0,O27+P27-Q27)</f>
        <v>3.00679551401167</v>
      </c>
      <c r="S27" s="16" t="n">
        <f aca="false">(J27+N27+O27+R27)/2</f>
        <v>581.923716334634</v>
      </c>
      <c r="T27" s="16" t="n">
        <f aca="false">IF(Assumptions!$D$19="","",IF(((SUMIFS(Assumptions!$W$41:$W$364,Assumptions!$C$41:$C$364,$D$4,Assumptions!$E$41:$E$364,$C27)+SUMIFS(Assumptions!$AC$41:$AC$364,Assumptions!$C$41:$C$364,$D$4,Assumptions!$E$41:$E$364,$C27)+SUMIFS(Assumptions!$AD$41:$AD$364,Assumptions!$C$41:$C$364,$D$4,Assumptions!$E$41:$E$364,$C27)+SUMIFS(Assumptions!$AG$41:$AG$364,Assumptions!$C$41:$C$364,$D$4,Assumptions!$E$41:$E$364,$C27))/2)=0,0,SUMIFS(Assumptions!$AI$41:$AI$364,Assumptions!$C$41:$C$364,$D$4,Assumptions!$E$41:$E$364,$C27)*S27/((SUMIFS(Assumptions!$W$41:$W$364,Assumptions!$C$41:$C$364,$D$4,Assumptions!$E$41:$E$364,$C27)+SUMIFS(Assumptions!$AC$41:$AC$364,Assumptions!$C$41:$C$364,$D$4,Assumptions!$E$41:$E$364,$C27)+SUMIFS(Assumptions!$AD$41:$AD$364,Assumptions!$C$41:$C$364,$D$4,Assumptions!$E$41:$E$364,$C27)+SUMIFS(Assumptions!$AG$41:$AG$364,Assumptions!$C$41:$C$364,$D$4,Assumptions!$E$41:$E$364,$C27))/2)*(Assumptions!$D$19/6.57%))+Assumptions!$D$20*S27*H27/365)</f>
        <v>3.18603234693318</v>
      </c>
      <c r="U27" s="16" t="n">
        <f aca="false">SUMIFS(Assumptions!$AJ$41:$AJ$364,Assumptions!$C$41:$C$364,$D$4,Assumptions!$E$41:$E$364,$C27)</f>
        <v>0.66925</v>
      </c>
      <c r="V27" s="16" t="n">
        <f aca="false">SUMIFS(Assumptions!$AK$41:$AK$364,Assumptions!$C$41:$C$364,$D$4,Assumptions!$E$41:$E$364,$C27)+SUMIFS(Assumptions!$AL$41:$AL$364,Assumptions!$C$41:$C$364,$D$4,Assumptions!$E$41:$E$364,$C27)</f>
        <v>1.625</v>
      </c>
      <c r="W27" s="16" t="n">
        <f aca="false">W26+(SUMIFS(Assumptions!$V$41:$V$364,Assumptions!$C$41:$C$364,$D$4,Assumptions!$E$41:$E$364,$C27)-SUMIFS(Assumptions!$U$41:$U$364,Assumptions!$C$41:$C$364,$D$4,Assumptions!$E$41:$E$364,$C27))+(Assumptions!$D$25+IF($C27="P001",-SUMIFS(Assumptions!$L$41:$L$364,Assumptions!$C$41:$C$364,$D$4,Assumptions!$E$41:$E$364,$C27)/365*Assumptions!$D$23,0))+(IF((Assumptions!$D$25+IF($C27="P001",-SUMIFS(Assumptions!$L$41:$L$364,Assumptions!$C$41:$C$364,$D$4,Assumptions!$E$41:$E$364,$C27)/365*Assumptions!$D$23,0))&lt;0,MIN(MAX(0,Assumptions!$D$14-Assumptions!$D$16-O27),-(Assumptions!$D$25+IF($C27="P001",-SUMIFS(Assumptions!$L$41:$L$364,Assumptions!$C$41:$C$364,$D$4,Assumptions!$E$41:$E$364,$C27)/365*Assumptions!$D$23,0))),0))-(IF((Assumptions!$D$25+IF($C27="P001",-SUMIFS(Assumptions!$L$41:$L$364,Assumptions!$C$41:$C$364,$D$4,Assumptions!$E$41:$E$364,$C27)/365*Assumptions!$D$23,0))&gt;0,MIN(O27,(Assumptions!$D$25+IF($C27="P001",-SUMIFS(Assumptions!$L$41:$L$364,Assumptions!$C$41:$C$364,$D$4,Assumptions!$E$41:$E$364,$C27)/365*Assumptions!$D$23,0))),0))</f>
        <v>25</v>
      </c>
      <c r="X27" s="16" t="n">
        <f aca="false">N27+R27</f>
        <v>578.475545514012</v>
      </c>
      <c r="Y27" s="16" t="n">
        <f aca="false">Assumptions!$D$17</f>
        <v>62.619</v>
      </c>
      <c r="Z27" s="16" t="n">
        <f aca="false">X27+Y27</f>
        <v>641.094545514012</v>
      </c>
      <c r="AA27" s="16" t="n">
        <f aca="false">MAX(0,Assumptions!$D$14-Assumptions!$D$16-R27)</f>
        <v>290.793204485988</v>
      </c>
      <c r="AB27" s="16" t="n">
        <f aca="false">MAX(0,W27-Assumptions!$D$24)+AA27</f>
        <v>290.793204485988</v>
      </c>
      <c r="AC27" s="16" t="n">
        <f aca="false">SUMIFS(Assumptions!$AM$41:$AM$364,Assumptions!$C$41:$C$364,$D$4,Assumptions!$E$41:$E$364,$C27)+MAX(0,-W27)</f>
        <v>0</v>
      </c>
      <c r="AD27" s="14" t="str">
        <f aca="false">IF(COUNTIFS(Assumptions!$C$41:$C$364,$D$4,Assumptions!$E$41:$E$364,$C27,Assumptions!$AR$41:$AR$364,"*shutoff_active*")&gt;0,"SHUTOFF","AVAILABLE")</f>
        <v>AVAILABLE</v>
      </c>
    </row>
    <row r="28" customFormat="false" ht="15" hidden="false" customHeight="false" outlineLevel="0" collapsed="false">
      <c r="C28" s="14" t="s">
        <v>317</v>
      </c>
      <c r="D28" s="29" t="n">
        <v>46568</v>
      </c>
      <c r="E28" s="14" t="s">
        <v>253</v>
      </c>
      <c r="F28" s="14" t="s">
        <v>302</v>
      </c>
      <c r="G28" s="14" t="s">
        <v>271</v>
      </c>
      <c r="H28" s="14" t="n">
        <v>30</v>
      </c>
      <c r="I28" s="16" t="n">
        <f aca="false">SUMIFS(Assumptions!$T$41:$T$364,Assumptions!$C$41:$C$364,$D$4,Assumptions!$E$41:$E$364,$C28)+(Assumptions!$D$25+IF($C28="P001",-SUMIFS(Assumptions!$L$41:$L$364,Assumptions!$C$41:$C$364,$D$4,Assumptions!$E$41:$E$364,$C28)/365*Assumptions!$D$23,0))</f>
        <v>12.3766239881776</v>
      </c>
      <c r="J28" s="16" t="n">
        <f aca="false">N27</f>
        <v>575.46875</v>
      </c>
      <c r="K28" s="16" t="n">
        <f aca="false">SUMIFS(Assumptions!$Y$41:$Y$364,Assumptions!$C$41:$C$364,$D$4,Assumptions!$E$41:$E$364,$C28)*(Assumptions!$D$12/635)*(Assumptions!$D$18/7.5%)</f>
        <v>0</v>
      </c>
      <c r="L28" s="16" t="n">
        <f aca="false">SUMIFS(Assumptions!$Z$41:$Z$364,Assumptions!$C$41:$C$364,$D$4,Assumptions!$E$41:$E$364,$C28)*(Assumptions!$D$26/50%)*IF(SUMIFS(Assumptions!$AO$41:$AO$364,Assumptions!$C$41:$C$364,$D$4,Assumptions!$E$41:$E$364,$C28)&gt;Assumptions!$D$24,1,0)</f>
        <v>0</v>
      </c>
      <c r="M28" s="16" t="n">
        <f aca="false">SUMIFS(Assumptions!$AB$41:$AB$364,Assumptions!$C$41:$C$364,$D$4,Assumptions!$E$41:$E$364,$C28)</f>
        <v>0</v>
      </c>
      <c r="N28" s="16" t="n">
        <f aca="false">MAX(0,J28-K28-L28-M28)</f>
        <v>575.46875</v>
      </c>
      <c r="O28" s="16" t="n">
        <f aca="false">R27</f>
        <v>3.00679551401167</v>
      </c>
      <c r="P28" s="16" t="n">
        <f aca="false">SUMIFS(Assumptions!$AE$41:$AE$364,Assumptions!$C$41:$C$364,$D$4,Assumptions!$E$41:$E$364,$C28)+IF((Assumptions!$D$25+IF($C28="P001",-SUMIFS(Assumptions!$L$41:$L$364,Assumptions!$C$41:$C$364,$D$4,Assumptions!$E$41:$E$364,$C28)/365*Assumptions!$D$23,0))&lt;0,MIN(MAX(0,Assumptions!$D$14-Assumptions!$D$16-O28),-(Assumptions!$D$25+IF($C28="P001",-SUMIFS(Assumptions!$L$41:$L$364,Assumptions!$C$41:$C$364,$D$4,Assumptions!$E$41:$E$364,$C28)/365*Assumptions!$D$23,0))),0)</f>
        <v>0</v>
      </c>
      <c r="Q28" s="16" t="n">
        <f aca="false">SUMIFS(Assumptions!$AF$41:$AF$364,Assumptions!$C$41:$C$364,$D$4,Assumptions!$E$41:$E$364,$C28)+IF((Assumptions!$D$25+IF($C28="P001",-SUMIFS(Assumptions!$L$41:$L$364,Assumptions!$C$41:$C$364,$D$4,Assumptions!$E$41:$E$364,$C28)/365*Assumptions!$D$23,0))&gt;0,MIN(O28,(Assumptions!$D$25+IF($C28="P001",-SUMIFS(Assumptions!$L$41:$L$364,Assumptions!$C$41:$C$364,$D$4,Assumptions!$E$41:$E$364,$C28)/365*Assumptions!$D$23,0))),0)</f>
        <v>3.00679551401167</v>
      </c>
      <c r="R28" s="16" t="n">
        <f aca="false">MAX(0,O28+P28-Q28)</f>
        <v>0</v>
      </c>
      <c r="S28" s="16" t="n">
        <f aca="false">(J28+N28+O28+R28)/2</f>
        <v>576.972147757006</v>
      </c>
      <c r="T28" s="16" t="n">
        <f aca="false">IF(Assumptions!$D$19="","",IF(((SUMIFS(Assumptions!$W$41:$W$364,Assumptions!$C$41:$C$364,$D$4,Assumptions!$E$41:$E$364,$C28)+SUMIFS(Assumptions!$AC$41:$AC$364,Assumptions!$C$41:$C$364,$D$4,Assumptions!$E$41:$E$364,$C28)+SUMIFS(Assumptions!$AD$41:$AD$364,Assumptions!$C$41:$C$364,$D$4,Assumptions!$E$41:$E$364,$C28)+SUMIFS(Assumptions!$AG$41:$AG$364,Assumptions!$C$41:$C$364,$D$4,Assumptions!$E$41:$E$364,$C28))/2)=0,0,SUMIFS(Assumptions!$AI$41:$AI$364,Assumptions!$C$41:$C$364,$D$4,Assumptions!$E$41:$E$364,$C28)*S28/((SUMIFS(Assumptions!$W$41:$W$364,Assumptions!$C$41:$C$364,$D$4,Assumptions!$E$41:$E$364,$C28)+SUMIFS(Assumptions!$AC$41:$AC$364,Assumptions!$C$41:$C$364,$D$4,Assumptions!$E$41:$E$364,$C28)+SUMIFS(Assumptions!$AD$41:$AD$364,Assumptions!$C$41:$C$364,$D$4,Assumptions!$E$41:$E$364,$C28)+SUMIFS(Assumptions!$AG$41:$AG$364,Assumptions!$C$41:$C$364,$D$4,Assumptions!$E$41:$E$364,$C28))/2)*(Assumptions!$D$19/6.57%))+Assumptions!$D$20*S28*H28/365)</f>
        <v>3.15892250896961</v>
      </c>
      <c r="U28" s="16" t="n">
        <f aca="false">SUMIFS(Assumptions!$AJ$41:$AJ$364,Assumptions!$C$41:$C$364,$D$4,Assumptions!$E$41:$E$364,$C28)</f>
        <v>0.66925</v>
      </c>
      <c r="V28" s="16" t="n">
        <f aca="false">SUMIFS(Assumptions!$AK$41:$AK$364,Assumptions!$C$41:$C$364,$D$4,Assumptions!$E$41:$E$364,$C28)+SUMIFS(Assumptions!$AL$41:$AL$364,Assumptions!$C$41:$C$364,$D$4,Assumptions!$E$41:$E$364,$C28)</f>
        <v>1.625</v>
      </c>
      <c r="W28" s="16" t="n">
        <f aca="false">W27+(SUMIFS(Assumptions!$V$41:$V$364,Assumptions!$C$41:$C$364,$D$4,Assumptions!$E$41:$E$364,$C28)-SUMIFS(Assumptions!$U$41:$U$364,Assumptions!$C$41:$C$364,$D$4,Assumptions!$E$41:$E$364,$C28))+(Assumptions!$D$25+IF($C28="P001",-SUMIFS(Assumptions!$L$41:$L$364,Assumptions!$C$41:$C$364,$D$4,Assumptions!$E$41:$E$364,$C28)/365*Assumptions!$D$23,0))+(IF((Assumptions!$D$25+IF($C28="P001",-SUMIFS(Assumptions!$L$41:$L$364,Assumptions!$C$41:$C$364,$D$4,Assumptions!$E$41:$E$364,$C28)/365*Assumptions!$D$23,0))&lt;0,MIN(MAX(0,Assumptions!$D$14-Assumptions!$D$16-O28),-(Assumptions!$D$25+IF($C28="P001",-SUMIFS(Assumptions!$L$41:$L$364,Assumptions!$C$41:$C$364,$D$4,Assumptions!$E$41:$E$364,$C28)/365*Assumptions!$D$23,0))),0))-(IF((Assumptions!$D$25+IF($C28="P001",-SUMIFS(Assumptions!$L$41:$L$364,Assumptions!$C$41:$C$364,$D$4,Assumptions!$E$41:$E$364,$C28)/365*Assumptions!$D$23,0))&gt;0,MIN(O28,(Assumptions!$D$25+IF($C28="P001",-SUMIFS(Assumptions!$L$41:$L$364,Assumptions!$C$41:$C$364,$D$4,Assumptions!$E$41:$E$364,$C28)/365*Assumptions!$D$23,0))),0))</f>
        <v>28.9166559651964</v>
      </c>
      <c r="X28" s="16" t="n">
        <f aca="false">N28+R28</f>
        <v>575.46875</v>
      </c>
      <c r="Y28" s="16" t="n">
        <f aca="false">Assumptions!$D$17</f>
        <v>62.619</v>
      </c>
      <c r="Z28" s="16" t="n">
        <f aca="false">X28+Y28</f>
        <v>638.08775</v>
      </c>
      <c r="AA28" s="16" t="n">
        <f aca="false">MAX(0,Assumptions!$D$14-Assumptions!$D$16-R28)</f>
        <v>293.8</v>
      </c>
      <c r="AB28" s="16" t="n">
        <f aca="false">MAX(0,W28-Assumptions!$D$24)+AA28</f>
        <v>297.716655965196</v>
      </c>
      <c r="AC28" s="16" t="n">
        <f aca="false">SUMIFS(Assumptions!$AM$41:$AM$364,Assumptions!$C$41:$C$364,$D$4,Assumptions!$E$41:$E$364,$C28)+MAX(0,-W28)</f>
        <v>0</v>
      </c>
      <c r="AD28" s="14" t="str">
        <f aca="false">IF(COUNTIFS(Assumptions!$C$41:$C$364,$D$4,Assumptions!$E$41:$E$364,$C28,Assumptions!$AR$41:$AR$364,"*shutoff_active*")&gt;0,"SHUTOFF","AVAILABLE")</f>
        <v>AVAILABLE</v>
      </c>
    </row>
    <row r="29" customFormat="false" ht="15" hidden="false" customHeight="false" outlineLevel="0" collapsed="false">
      <c r="C29" s="14" t="s">
        <v>319</v>
      </c>
      <c r="D29" s="29" t="n">
        <v>46599</v>
      </c>
      <c r="E29" s="14" t="s">
        <v>253</v>
      </c>
      <c r="F29" s="14" t="s">
        <v>302</v>
      </c>
      <c r="G29" s="14" t="s">
        <v>271</v>
      </c>
      <c r="H29" s="14" t="n">
        <v>31</v>
      </c>
      <c r="I29" s="16" t="n">
        <f aca="false">SUMIFS(Assumptions!$T$41:$T$364,Assumptions!$C$41:$C$364,$D$4,Assumptions!$E$41:$E$364,$C29)+(Assumptions!$D$25+IF($C29="P001",-SUMIFS(Assumptions!$L$41:$L$364,Assumptions!$C$41:$C$364,$D$4,Assumptions!$E$41:$E$364,$C29)/365*Assumptions!$D$23,0))</f>
        <v>12.3766239881776</v>
      </c>
      <c r="J29" s="16" t="n">
        <f aca="false">N28</f>
        <v>575.46875</v>
      </c>
      <c r="K29" s="16" t="n">
        <f aca="false">SUMIFS(Assumptions!$Y$41:$Y$364,Assumptions!$C$41:$C$364,$D$4,Assumptions!$E$41:$E$364,$C29)*(Assumptions!$D$12/635)*(Assumptions!$D$18/7.5%)</f>
        <v>11.90625</v>
      </c>
      <c r="L29" s="16" t="n">
        <f aca="false">SUMIFS(Assumptions!$Z$41:$Z$364,Assumptions!$C$41:$C$364,$D$4,Assumptions!$E$41:$E$364,$C29)*(Assumptions!$D$26/50%)*IF(SUMIFS(Assumptions!$AO$41:$AO$364,Assumptions!$C$41:$C$364,$D$4,Assumptions!$E$41:$E$364,$C29)&gt;Assumptions!$D$24,1,0)</f>
        <v>0</v>
      </c>
      <c r="M29" s="16" t="n">
        <f aca="false">SUMIFS(Assumptions!$AB$41:$AB$364,Assumptions!$C$41:$C$364,$D$4,Assumptions!$E$41:$E$364,$C29)</f>
        <v>0</v>
      </c>
      <c r="N29" s="16" t="n">
        <f aca="false">MAX(0,J29-K29-L29-M29)</f>
        <v>563.5625</v>
      </c>
      <c r="O29" s="16" t="n">
        <f aca="false">R28</f>
        <v>0</v>
      </c>
      <c r="P29" s="16" t="n">
        <f aca="false">SUMIFS(Assumptions!$AE$41:$AE$364,Assumptions!$C$41:$C$364,$D$4,Assumptions!$E$41:$E$364,$C29)+IF((Assumptions!$D$25+IF($C29="P001",-SUMIFS(Assumptions!$L$41:$L$364,Assumptions!$C$41:$C$364,$D$4,Assumptions!$E$41:$E$364,$C29)/365*Assumptions!$D$23,0))&lt;0,MIN(MAX(0,Assumptions!$D$14-Assumptions!$D$16-O29),-(Assumptions!$D$25+IF($C29="P001",-SUMIFS(Assumptions!$L$41:$L$364,Assumptions!$C$41:$C$364,$D$4,Assumptions!$E$41:$E$364,$C29)/365*Assumptions!$D$23,0))),0)</f>
        <v>1.02813260651117</v>
      </c>
      <c r="Q29" s="16" t="n">
        <f aca="false">SUMIFS(Assumptions!$AF$41:$AF$364,Assumptions!$C$41:$C$364,$D$4,Assumptions!$E$41:$E$364,$C29)+IF((Assumptions!$D$25+IF($C29="P001",-SUMIFS(Assumptions!$L$41:$L$364,Assumptions!$C$41:$C$364,$D$4,Assumptions!$E$41:$E$364,$C29)/365*Assumptions!$D$23,0))&gt;0,MIN(O29,(Assumptions!$D$25+IF($C29="P001",-SUMIFS(Assumptions!$L$41:$L$364,Assumptions!$C$41:$C$364,$D$4,Assumptions!$E$41:$E$364,$C29)/365*Assumptions!$D$23,0))),0)</f>
        <v>0</v>
      </c>
      <c r="R29" s="16" t="n">
        <f aca="false">MAX(0,O29+P29-Q29)</f>
        <v>1.02813260651117</v>
      </c>
      <c r="S29" s="16" t="n">
        <f aca="false">(J29+N29+O29+R29)/2</f>
        <v>570.029691303256</v>
      </c>
      <c r="T29" s="16" t="n">
        <f aca="false">IF(Assumptions!$D$19="","",IF(((SUMIFS(Assumptions!$W$41:$W$364,Assumptions!$C$41:$C$364,$D$4,Assumptions!$E$41:$E$364,$C29)+SUMIFS(Assumptions!$AC$41:$AC$364,Assumptions!$C$41:$C$364,$D$4,Assumptions!$E$41:$E$364,$C29)+SUMIFS(Assumptions!$AD$41:$AD$364,Assumptions!$C$41:$C$364,$D$4,Assumptions!$E$41:$E$364,$C29)+SUMIFS(Assumptions!$AG$41:$AG$364,Assumptions!$C$41:$C$364,$D$4,Assumptions!$E$41:$E$364,$C29))/2)=0,0,SUMIFS(Assumptions!$AI$41:$AI$364,Assumptions!$C$41:$C$364,$D$4,Assumptions!$E$41:$E$364,$C29)*S29/((SUMIFS(Assumptions!$W$41:$W$364,Assumptions!$C$41:$C$364,$D$4,Assumptions!$E$41:$E$364,$C29)+SUMIFS(Assumptions!$AC$41:$AC$364,Assumptions!$C$41:$C$364,$D$4,Assumptions!$E$41:$E$364,$C29)+SUMIFS(Assumptions!$AD$41:$AD$364,Assumptions!$C$41:$C$364,$D$4,Assumptions!$E$41:$E$364,$C29)+SUMIFS(Assumptions!$AG$41:$AG$364,Assumptions!$C$41:$C$364,$D$4,Assumptions!$E$41:$E$364,$C29))/2)*(Assumptions!$D$19/6.57%))+Assumptions!$D$20*S29*H29/365)</f>
        <v>3.12091255988517</v>
      </c>
      <c r="U29" s="16" t="n">
        <f aca="false">SUMIFS(Assumptions!$AJ$41:$AJ$364,Assumptions!$C$41:$C$364,$D$4,Assumptions!$E$41:$E$364,$C29)</f>
        <v>0.66925</v>
      </c>
      <c r="V29" s="16" t="n">
        <f aca="false">SUMIFS(Assumptions!$AK$41:$AK$364,Assumptions!$C$41:$C$364,$D$4,Assumptions!$E$41:$E$364,$C29)+SUMIFS(Assumptions!$AL$41:$AL$364,Assumptions!$C$41:$C$364,$D$4,Assumptions!$E$41:$E$364,$C29)</f>
        <v>1.625</v>
      </c>
      <c r="W29" s="16" t="n">
        <f aca="false">W28+(SUMIFS(Assumptions!$V$41:$V$364,Assumptions!$C$41:$C$364,$D$4,Assumptions!$E$41:$E$364,$C29)-SUMIFS(Assumptions!$U$41:$U$364,Assumptions!$C$41:$C$364,$D$4,Assumptions!$E$41:$E$364,$C29))+(Assumptions!$D$25+IF($C29="P001",-SUMIFS(Assumptions!$L$41:$L$364,Assumptions!$C$41:$C$364,$D$4,Assumptions!$E$41:$E$364,$C29)/365*Assumptions!$D$23,0))+(IF((Assumptions!$D$25+IF($C29="P001",-SUMIFS(Assumptions!$L$41:$L$364,Assumptions!$C$41:$C$364,$D$4,Assumptions!$E$41:$E$364,$C29)/365*Assumptions!$D$23,0))&lt;0,MIN(MAX(0,Assumptions!$D$14-Assumptions!$D$16-O29),-(Assumptions!$D$25+IF($C29="P001",-SUMIFS(Assumptions!$L$41:$L$364,Assumptions!$C$41:$C$364,$D$4,Assumptions!$E$41:$E$364,$C29)/365*Assumptions!$D$23,0))),0))-(IF((Assumptions!$D$25+IF($C29="P001",-SUMIFS(Assumptions!$L$41:$L$364,Assumptions!$C$41:$C$364,$D$4,Assumptions!$E$41:$E$364,$C29)/365*Assumptions!$D$23,0))&gt;0,MIN(O29,(Assumptions!$D$25+IF($C29="P001",-SUMIFS(Assumptions!$L$41:$L$364,Assumptions!$C$41:$C$364,$D$4,Assumptions!$E$41:$E$364,$C29)/365*Assumptions!$D$23,0))),0))</f>
        <v>25</v>
      </c>
      <c r="X29" s="16" t="n">
        <f aca="false">N29+R29</f>
        <v>564.590632606511</v>
      </c>
      <c r="Y29" s="16" t="n">
        <f aca="false">Assumptions!$D$17</f>
        <v>62.619</v>
      </c>
      <c r="Z29" s="16" t="n">
        <f aca="false">X29+Y29</f>
        <v>627.209632606511</v>
      </c>
      <c r="AA29" s="16" t="n">
        <f aca="false">MAX(0,Assumptions!$D$14-Assumptions!$D$16-R29)</f>
        <v>292.771867393489</v>
      </c>
      <c r="AB29" s="16" t="n">
        <f aca="false">MAX(0,W29-Assumptions!$D$24)+AA29</f>
        <v>292.771867393489</v>
      </c>
      <c r="AC29" s="16" t="n">
        <f aca="false">SUMIFS(Assumptions!$AM$41:$AM$364,Assumptions!$C$41:$C$364,$D$4,Assumptions!$E$41:$E$364,$C29)+MAX(0,-W29)</f>
        <v>0</v>
      </c>
      <c r="AD29" s="14" t="str">
        <f aca="false">IF(COUNTIFS(Assumptions!$C$41:$C$364,$D$4,Assumptions!$E$41:$E$364,$C29,Assumptions!$AR$41:$AR$364,"*shutoff_active*")&gt;0,"SHUTOFF","AVAILABLE")</f>
        <v>AVAILABLE</v>
      </c>
    </row>
    <row r="30" customFormat="false" ht="15" hidden="false" customHeight="false" outlineLevel="0" collapsed="false">
      <c r="C30" s="14" t="s">
        <v>321</v>
      </c>
      <c r="D30" s="29" t="n">
        <v>46630</v>
      </c>
      <c r="E30" s="14" t="s">
        <v>253</v>
      </c>
      <c r="F30" s="14" t="s">
        <v>302</v>
      </c>
      <c r="G30" s="14" t="s">
        <v>288</v>
      </c>
      <c r="H30" s="14" t="n">
        <v>31</v>
      </c>
      <c r="I30" s="16" t="n">
        <f aca="false">SUMIFS(Assumptions!$T$41:$T$364,Assumptions!$C$41:$C$364,$D$4,Assumptions!$E$41:$E$364,$C30)+(Assumptions!$D$25+IF($C30="P001",-SUMIFS(Assumptions!$L$41:$L$364,Assumptions!$C$41:$C$364,$D$4,Assumptions!$E$41:$E$364,$C30)/365*Assumptions!$D$23,0))</f>
        <v>12.5174405308409</v>
      </c>
      <c r="J30" s="16" t="n">
        <f aca="false">N29</f>
        <v>563.5625</v>
      </c>
      <c r="K30" s="16" t="n">
        <f aca="false">SUMIFS(Assumptions!$Y$41:$Y$364,Assumptions!$C$41:$C$364,$D$4,Assumptions!$E$41:$E$364,$C30)*(Assumptions!$D$12/635)*(Assumptions!$D$18/7.5%)</f>
        <v>0</v>
      </c>
      <c r="L30" s="16" t="n">
        <f aca="false">SUMIFS(Assumptions!$Z$41:$Z$364,Assumptions!$C$41:$C$364,$D$4,Assumptions!$E$41:$E$364,$C30)*(Assumptions!$D$26/50%)*IF(SUMIFS(Assumptions!$AO$41:$AO$364,Assumptions!$C$41:$C$364,$D$4,Assumptions!$E$41:$E$364,$C30)&gt;Assumptions!$D$24,1,0)</f>
        <v>0</v>
      </c>
      <c r="M30" s="16" t="n">
        <f aca="false">SUMIFS(Assumptions!$AB$41:$AB$364,Assumptions!$C$41:$C$364,$D$4,Assumptions!$E$41:$E$364,$C30)</f>
        <v>0</v>
      </c>
      <c r="N30" s="16" t="n">
        <f aca="false">MAX(0,J30-K30-L30-M30)</f>
        <v>563.5625</v>
      </c>
      <c r="O30" s="16" t="n">
        <f aca="false">R29</f>
        <v>1.02813260651117</v>
      </c>
      <c r="P30" s="16" t="n">
        <f aca="false">SUMIFS(Assumptions!$AE$41:$AE$364,Assumptions!$C$41:$C$364,$D$4,Assumptions!$E$41:$E$364,$C30)+IF((Assumptions!$D$25+IF($C30="P001",-SUMIFS(Assumptions!$L$41:$L$364,Assumptions!$C$41:$C$364,$D$4,Assumptions!$E$41:$E$364,$C30)/365*Assumptions!$D$23,0))&lt;0,MIN(MAX(0,Assumptions!$D$14-Assumptions!$D$16-O30),-(Assumptions!$D$25+IF($C30="P001",-SUMIFS(Assumptions!$L$41:$L$364,Assumptions!$C$41:$C$364,$D$4,Assumptions!$E$41:$E$364,$C30)/365*Assumptions!$D$23,0))),0)</f>
        <v>0</v>
      </c>
      <c r="Q30" s="16" t="n">
        <f aca="false">SUMIFS(Assumptions!$AF$41:$AF$364,Assumptions!$C$41:$C$364,$D$4,Assumptions!$E$41:$E$364,$C30)+IF((Assumptions!$D$25+IF($C30="P001",-SUMIFS(Assumptions!$L$41:$L$364,Assumptions!$C$41:$C$364,$D$4,Assumptions!$E$41:$E$364,$C30)/365*Assumptions!$D$23,0))&gt;0,MIN(O30,(Assumptions!$D$25+IF($C30="P001",-SUMIFS(Assumptions!$L$41:$L$364,Assumptions!$C$41:$C$364,$D$4,Assumptions!$E$41:$E$364,$C30)/365*Assumptions!$D$23,0))),0)</f>
        <v>1.02813260651117</v>
      </c>
      <c r="R30" s="16" t="n">
        <f aca="false">MAX(0,O30+P30-Q30)</f>
        <v>0</v>
      </c>
      <c r="S30" s="16" t="n">
        <f aca="false">(J30+N30+O30+R30)/2</f>
        <v>564.076566303256</v>
      </c>
      <c r="T30" s="16" t="n">
        <f aca="false">IF(Assumptions!$D$19="","",IF(((SUMIFS(Assumptions!$W$41:$W$364,Assumptions!$C$41:$C$364,$D$4,Assumptions!$E$41:$E$364,$C30)+SUMIFS(Assumptions!$AC$41:$AC$364,Assumptions!$C$41:$C$364,$D$4,Assumptions!$E$41:$E$364,$C30)+SUMIFS(Assumptions!$AD$41:$AD$364,Assumptions!$C$41:$C$364,$D$4,Assumptions!$E$41:$E$364,$C30)+SUMIFS(Assumptions!$AG$41:$AG$364,Assumptions!$C$41:$C$364,$D$4,Assumptions!$E$41:$E$364,$C30))/2)=0,0,SUMIFS(Assumptions!$AI$41:$AI$364,Assumptions!$C$41:$C$364,$D$4,Assumptions!$E$41:$E$364,$C30)*S30/((SUMIFS(Assumptions!$W$41:$W$364,Assumptions!$C$41:$C$364,$D$4,Assumptions!$E$41:$E$364,$C30)+SUMIFS(Assumptions!$AC$41:$AC$364,Assumptions!$C$41:$C$364,$D$4,Assumptions!$E$41:$E$364,$C30)+SUMIFS(Assumptions!$AD$41:$AD$364,Assumptions!$C$41:$C$364,$D$4,Assumptions!$E$41:$E$364,$C30)+SUMIFS(Assumptions!$AG$41:$AG$364,Assumptions!$C$41:$C$364,$D$4,Assumptions!$E$41:$E$364,$C30))/2)*(Assumptions!$D$19/6.57%))+Assumptions!$D$20*S30*H30/365)</f>
        <v>3.08831920051032</v>
      </c>
      <c r="U30" s="16" t="n">
        <f aca="false">SUMIFS(Assumptions!$AJ$41:$AJ$364,Assumptions!$C$41:$C$364,$D$4,Assumptions!$E$41:$E$364,$C30)</f>
        <v>0.66925</v>
      </c>
      <c r="V30" s="16" t="n">
        <f aca="false">SUMIFS(Assumptions!$AK$41:$AK$364,Assumptions!$C$41:$C$364,$D$4,Assumptions!$E$41:$E$364,$C30)+SUMIFS(Assumptions!$AL$41:$AL$364,Assumptions!$C$41:$C$364,$D$4,Assumptions!$E$41:$E$364,$C30)</f>
        <v>1.625</v>
      </c>
      <c r="W30" s="16" t="n">
        <f aca="false">W29+(SUMIFS(Assumptions!$V$41:$V$364,Assumptions!$C$41:$C$364,$D$4,Assumptions!$E$41:$E$364,$C30)-SUMIFS(Assumptions!$U$41:$U$364,Assumptions!$C$41:$C$364,$D$4,Assumptions!$E$41:$E$364,$C30))+(Assumptions!$D$25+IF($C30="P001",-SUMIFS(Assumptions!$L$41:$L$364,Assumptions!$C$41:$C$364,$D$4,Assumptions!$E$41:$E$364,$C30)/365*Assumptions!$D$23,0))+(IF((Assumptions!$D$25+IF($C30="P001",-SUMIFS(Assumptions!$L$41:$L$364,Assumptions!$C$41:$C$364,$D$4,Assumptions!$E$41:$E$364,$C30)/365*Assumptions!$D$23,0))&lt;0,MIN(MAX(0,Assumptions!$D$14-Assumptions!$D$16-O30),-(Assumptions!$D$25+IF($C30="P001",-SUMIFS(Assumptions!$L$41:$L$364,Assumptions!$C$41:$C$364,$D$4,Assumptions!$E$41:$E$364,$C30)/365*Assumptions!$D$23,0))),0))-(IF((Assumptions!$D$25+IF($C30="P001",-SUMIFS(Assumptions!$L$41:$L$364,Assumptions!$C$41:$C$364,$D$4,Assumptions!$E$41:$E$364,$C30)/365*Assumptions!$D$23,0))&gt;0,MIN(O30,(Assumptions!$D$25+IF($C30="P001",-SUMIFS(Assumptions!$L$41:$L$364,Assumptions!$C$41:$C$364,$D$4,Assumptions!$E$41:$E$364,$C30)/365*Assumptions!$D$23,0))),0))</f>
        <v>31.1067387238194</v>
      </c>
      <c r="X30" s="16" t="n">
        <f aca="false">N30+R30</f>
        <v>563.5625</v>
      </c>
      <c r="Y30" s="16" t="n">
        <f aca="false">Assumptions!$D$17</f>
        <v>62.619</v>
      </c>
      <c r="Z30" s="16" t="n">
        <f aca="false">X30+Y30</f>
        <v>626.1815</v>
      </c>
      <c r="AA30" s="16" t="n">
        <f aca="false">MAX(0,Assumptions!$D$14-Assumptions!$D$16-R30)</f>
        <v>293.8</v>
      </c>
      <c r="AB30" s="16" t="n">
        <f aca="false">MAX(0,W30-Assumptions!$D$24)+AA30</f>
        <v>299.906738723819</v>
      </c>
      <c r="AC30" s="16" t="n">
        <f aca="false">SUMIFS(Assumptions!$AM$41:$AM$364,Assumptions!$C$41:$C$364,$D$4,Assumptions!$E$41:$E$364,$C30)+MAX(0,-W30)</f>
        <v>0</v>
      </c>
      <c r="AD30" s="14" t="str">
        <f aca="false">IF(COUNTIFS(Assumptions!$C$41:$C$364,$D$4,Assumptions!$E$41:$E$364,$C30,Assumptions!$AR$41:$AR$364,"*shutoff_active*")&gt;0,"SHUTOFF","AVAILABLE")</f>
        <v>AVAILABLE</v>
      </c>
    </row>
    <row r="31" customFormat="false" ht="15" hidden="false" customHeight="false" outlineLevel="0" collapsed="false">
      <c r="C31" s="14" t="s">
        <v>323</v>
      </c>
      <c r="D31" s="29" t="n">
        <v>46660</v>
      </c>
      <c r="E31" s="14" t="s">
        <v>253</v>
      </c>
      <c r="F31" s="14" t="s">
        <v>302</v>
      </c>
      <c r="G31" s="14" t="s">
        <v>288</v>
      </c>
      <c r="H31" s="14" t="n">
        <v>30</v>
      </c>
      <c r="I31" s="16" t="n">
        <f aca="false">SUMIFS(Assumptions!$T$41:$T$364,Assumptions!$C$41:$C$364,$D$4,Assumptions!$E$41:$E$364,$C31)+(Assumptions!$D$25+IF($C31="P001",-SUMIFS(Assumptions!$L$41:$L$364,Assumptions!$C$41:$C$364,$D$4,Assumptions!$E$41:$E$364,$C31)/365*Assumptions!$D$23,0))</f>
        <v>12.5174405308409</v>
      </c>
      <c r="J31" s="16" t="n">
        <f aca="false">N30</f>
        <v>563.5625</v>
      </c>
      <c r="K31" s="16" t="n">
        <f aca="false">SUMIFS(Assumptions!$Y$41:$Y$364,Assumptions!$C$41:$C$364,$D$4,Assumptions!$E$41:$E$364,$C31)*(Assumptions!$D$12/635)*(Assumptions!$D$18/7.5%)</f>
        <v>0</v>
      </c>
      <c r="L31" s="16" t="n">
        <f aca="false">SUMIFS(Assumptions!$Z$41:$Z$364,Assumptions!$C$41:$C$364,$D$4,Assumptions!$E$41:$E$364,$C31)*(Assumptions!$D$26/50%)*IF(SUMIFS(Assumptions!$AO$41:$AO$364,Assumptions!$C$41:$C$364,$D$4,Assumptions!$E$41:$E$364,$C31)&gt;Assumptions!$D$24,1,0)</f>
        <v>0</v>
      </c>
      <c r="M31" s="16" t="n">
        <f aca="false">SUMIFS(Assumptions!$AB$41:$AB$364,Assumptions!$C$41:$C$364,$D$4,Assumptions!$E$41:$E$364,$C31)</f>
        <v>0</v>
      </c>
      <c r="N31" s="16" t="n">
        <f aca="false">MAX(0,J31-K31-L31-M31)</f>
        <v>563.5625</v>
      </c>
      <c r="O31" s="16" t="n">
        <f aca="false">R30</f>
        <v>0</v>
      </c>
      <c r="P31" s="16" t="n">
        <f aca="false">SUMIFS(Assumptions!$AE$41:$AE$364,Assumptions!$C$41:$C$364,$D$4,Assumptions!$E$41:$E$364,$C31)+IF((Assumptions!$D$25+IF($C31="P001",-SUMIFS(Assumptions!$L$41:$L$364,Assumptions!$C$41:$C$364,$D$4,Assumptions!$E$41:$E$364,$C31)/365*Assumptions!$D$23,0))&lt;0,MIN(MAX(0,Assumptions!$D$14-Assumptions!$D$16-O31),-(Assumptions!$D$25+IF($C31="P001",-SUMIFS(Assumptions!$L$41:$L$364,Assumptions!$C$41:$C$364,$D$4,Assumptions!$E$41:$E$364,$C31)/365*Assumptions!$D$23,0))),0)</f>
        <v>0</v>
      </c>
      <c r="Q31" s="16" t="n">
        <f aca="false">SUMIFS(Assumptions!$AF$41:$AF$364,Assumptions!$C$41:$C$364,$D$4,Assumptions!$E$41:$E$364,$C31)+IF((Assumptions!$D$25+IF($C31="P001",-SUMIFS(Assumptions!$L$41:$L$364,Assumptions!$C$41:$C$364,$D$4,Assumptions!$E$41:$E$364,$C31)/365*Assumptions!$D$23,0))&gt;0,MIN(O31,(Assumptions!$D$25+IF($C31="P001",-SUMIFS(Assumptions!$L$41:$L$364,Assumptions!$C$41:$C$364,$D$4,Assumptions!$E$41:$E$364,$C31)/365*Assumptions!$D$23,0))),0)</f>
        <v>0</v>
      </c>
      <c r="R31" s="16" t="n">
        <f aca="false">MAX(0,O31+P31-Q31)</f>
        <v>0</v>
      </c>
      <c r="S31" s="16" t="n">
        <f aca="false">(J31+N31+O31+R31)/2</f>
        <v>563.5625</v>
      </c>
      <c r="T31" s="16" t="n">
        <f aca="false">IF(Assumptions!$D$19="","",IF(((SUMIFS(Assumptions!$W$41:$W$364,Assumptions!$C$41:$C$364,$D$4,Assumptions!$E$41:$E$364,$C31)+SUMIFS(Assumptions!$AC$41:$AC$364,Assumptions!$C$41:$C$364,$D$4,Assumptions!$E$41:$E$364,$C31)+SUMIFS(Assumptions!$AD$41:$AD$364,Assumptions!$C$41:$C$364,$D$4,Assumptions!$E$41:$E$364,$C31)+SUMIFS(Assumptions!$AG$41:$AG$364,Assumptions!$C$41:$C$364,$D$4,Assumptions!$E$41:$E$364,$C31))/2)=0,0,SUMIFS(Assumptions!$AI$41:$AI$364,Assumptions!$C$41:$C$364,$D$4,Assumptions!$E$41:$E$364,$C31)*S31/((SUMIFS(Assumptions!$W$41:$W$364,Assumptions!$C$41:$C$364,$D$4,Assumptions!$E$41:$E$364,$C31)+SUMIFS(Assumptions!$AC$41:$AC$364,Assumptions!$C$41:$C$364,$D$4,Assumptions!$E$41:$E$364,$C31)+SUMIFS(Assumptions!$AD$41:$AD$364,Assumptions!$C$41:$C$364,$D$4,Assumptions!$E$41:$E$364,$C31)+SUMIFS(Assumptions!$AG$41:$AG$364,Assumptions!$C$41:$C$364,$D$4,Assumptions!$E$41:$E$364,$C31))/2)*(Assumptions!$D$19/6.57%))+Assumptions!$D$20*S31*H31/365)</f>
        <v>3.0855046875</v>
      </c>
      <c r="U31" s="16" t="n">
        <f aca="false">SUMIFS(Assumptions!$AJ$41:$AJ$364,Assumptions!$C$41:$C$364,$D$4,Assumptions!$E$41:$E$364,$C31)</f>
        <v>0.66925</v>
      </c>
      <c r="V31" s="16" t="n">
        <f aca="false">SUMIFS(Assumptions!$AK$41:$AK$364,Assumptions!$C$41:$C$364,$D$4,Assumptions!$E$41:$E$364,$C31)+SUMIFS(Assumptions!$AL$41:$AL$364,Assumptions!$C$41:$C$364,$D$4,Assumptions!$E$41:$E$364,$C31)</f>
        <v>1.625</v>
      </c>
      <c r="W31" s="16" t="n">
        <f aca="false">W30+(SUMIFS(Assumptions!$V$41:$V$364,Assumptions!$C$41:$C$364,$D$4,Assumptions!$E$41:$E$364,$C31)-SUMIFS(Assumptions!$U$41:$U$364,Assumptions!$C$41:$C$364,$D$4,Assumptions!$E$41:$E$364,$C31))+(Assumptions!$D$25+IF($C31="P001",-SUMIFS(Assumptions!$L$41:$L$364,Assumptions!$C$41:$C$364,$D$4,Assumptions!$E$41:$E$364,$C31)/365*Assumptions!$D$23,0))+(IF((Assumptions!$D$25+IF($C31="P001",-SUMIFS(Assumptions!$L$41:$L$364,Assumptions!$C$41:$C$364,$D$4,Assumptions!$E$41:$E$364,$C31)/365*Assumptions!$D$23,0))&lt;0,MIN(MAX(0,Assumptions!$D$14-Assumptions!$D$16-O31),-(Assumptions!$D$25+IF($C31="P001",-SUMIFS(Assumptions!$L$41:$L$364,Assumptions!$C$41:$C$364,$D$4,Assumptions!$E$41:$E$364,$C31)/365*Assumptions!$D$23,0))),0))-(IF((Assumptions!$D$25+IF($C31="P001",-SUMIFS(Assumptions!$L$41:$L$364,Assumptions!$C$41:$C$364,$D$4,Assumptions!$E$41:$E$364,$C31)/365*Assumptions!$D$23,0))&gt;0,MIN(O31,(Assumptions!$D$25+IF($C31="P001",-SUMIFS(Assumptions!$L$41:$L$364,Assumptions!$C$41:$C$364,$D$4,Assumptions!$E$41:$E$364,$C31)/365*Assumptions!$D$23,0))),0))</f>
        <v>38.2444245671602</v>
      </c>
      <c r="X31" s="16" t="n">
        <f aca="false">N31+R31</f>
        <v>563.5625</v>
      </c>
      <c r="Y31" s="16" t="n">
        <f aca="false">Assumptions!$D$17</f>
        <v>62.619</v>
      </c>
      <c r="Z31" s="16" t="n">
        <f aca="false">X31+Y31</f>
        <v>626.1815</v>
      </c>
      <c r="AA31" s="16" t="n">
        <f aca="false">MAX(0,Assumptions!$D$14-Assumptions!$D$16-R31)</f>
        <v>293.8</v>
      </c>
      <c r="AB31" s="16" t="n">
        <f aca="false">MAX(0,W31-Assumptions!$D$24)+AA31</f>
        <v>307.04442456716</v>
      </c>
      <c r="AC31" s="16" t="n">
        <f aca="false">SUMIFS(Assumptions!$AM$41:$AM$364,Assumptions!$C$41:$C$364,$D$4,Assumptions!$E$41:$E$364,$C31)+MAX(0,-W31)</f>
        <v>0</v>
      </c>
      <c r="AD31" s="14" t="str">
        <f aca="false">IF(COUNTIFS(Assumptions!$C$41:$C$364,$D$4,Assumptions!$E$41:$E$364,$C31,Assumptions!$AR$41:$AR$364,"*shutoff_active*")&gt;0,"SHUTOFF","AVAILABLE")</f>
        <v>AVAILABLE</v>
      </c>
    </row>
    <row r="32" customFormat="false" ht="15" hidden="false" customHeight="false" outlineLevel="0" collapsed="false">
      <c r="C32" s="14" t="s">
        <v>325</v>
      </c>
      <c r="D32" s="29" t="n">
        <v>46691</v>
      </c>
      <c r="E32" s="14" t="s">
        <v>253</v>
      </c>
      <c r="F32" s="14" t="s">
        <v>302</v>
      </c>
      <c r="G32" s="14" t="s">
        <v>288</v>
      </c>
      <c r="H32" s="14" t="n">
        <v>31</v>
      </c>
      <c r="I32" s="16" t="n">
        <f aca="false">SUMIFS(Assumptions!$T$41:$T$364,Assumptions!$C$41:$C$364,$D$4,Assumptions!$E$41:$E$364,$C32)+(Assumptions!$D$25+IF($C32="P001",-SUMIFS(Assumptions!$L$41:$L$364,Assumptions!$C$41:$C$364,$D$4,Assumptions!$E$41:$E$364,$C32)/365*Assumptions!$D$23,0))</f>
        <v>12.5174405308409</v>
      </c>
      <c r="J32" s="16" t="n">
        <f aca="false">N31</f>
        <v>563.5625</v>
      </c>
      <c r="K32" s="16" t="n">
        <f aca="false">SUMIFS(Assumptions!$Y$41:$Y$364,Assumptions!$C$41:$C$364,$D$4,Assumptions!$E$41:$E$364,$C32)*(Assumptions!$D$12/635)*(Assumptions!$D$18/7.5%)</f>
        <v>11.90625</v>
      </c>
      <c r="L32" s="16" t="n">
        <f aca="false">SUMIFS(Assumptions!$Z$41:$Z$364,Assumptions!$C$41:$C$364,$D$4,Assumptions!$E$41:$E$364,$C32)*(Assumptions!$D$26/50%)*IF(SUMIFS(Assumptions!$AO$41:$AO$364,Assumptions!$C$41:$C$364,$D$4,Assumptions!$E$41:$E$364,$C32)&gt;Assumptions!$D$24,1,0)</f>
        <v>4.25422688493803</v>
      </c>
      <c r="M32" s="16" t="n">
        <f aca="false">SUMIFS(Assumptions!$AB$41:$AB$364,Assumptions!$C$41:$C$364,$D$4,Assumptions!$E$41:$E$364,$C32)</f>
        <v>0</v>
      </c>
      <c r="N32" s="16" t="n">
        <f aca="false">MAX(0,J32-K32-L32-M32)</f>
        <v>547.402023115062</v>
      </c>
      <c r="O32" s="16" t="n">
        <f aca="false">R31</f>
        <v>0</v>
      </c>
      <c r="P32" s="16" t="n">
        <f aca="false">SUMIFS(Assumptions!$AE$41:$AE$364,Assumptions!$C$41:$C$364,$D$4,Assumptions!$E$41:$E$364,$C32)+IF((Assumptions!$D$25+IF($C32="P001",-SUMIFS(Assumptions!$L$41:$L$364,Assumptions!$C$41:$C$364,$D$4,Assumptions!$E$41:$E$364,$C32)/365*Assumptions!$D$23,0))&lt;0,MIN(MAX(0,Assumptions!$D$14-Assumptions!$D$16-O32),-(Assumptions!$D$25+IF($C32="P001",-SUMIFS(Assumptions!$L$41:$L$364,Assumptions!$C$41:$C$364,$D$4,Assumptions!$E$41:$E$364,$C32)/365*Assumptions!$D$23,0))),0)</f>
        <v>0</v>
      </c>
      <c r="Q32" s="16" t="n">
        <f aca="false">SUMIFS(Assumptions!$AF$41:$AF$364,Assumptions!$C$41:$C$364,$D$4,Assumptions!$E$41:$E$364,$C32)+IF((Assumptions!$D$25+IF($C32="P001",-SUMIFS(Assumptions!$L$41:$L$364,Assumptions!$C$41:$C$364,$D$4,Assumptions!$E$41:$E$364,$C32)/365*Assumptions!$D$23,0))&gt;0,MIN(O32,(Assumptions!$D$25+IF($C32="P001",-SUMIFS(Assumptions!$L$41:$L$364,Assumptions!$C$41:$C$364,$D$4,Assumptions!$E$41:$E$364,$C32)/365*Assumptions!$D$23,0))),0)</f>
        <v>0</v>
      </c>
      <c r="R32" s="16" t="n">
        <f aca="false">MAX(0,O32+P32-Q32)</f>
        <v>0</v>
      </c>
      <c r="S32" s="16" t="n">
        <f aca="false">(J32+N32+O32+R32)/2</f>
        <v>555.482261557531</v>
      </c>
      <c r="T32" s="16" t="n">
        <f aca="false">IF(Assumptions!$D$19="","",IF(((SUMIFS(Assumptions!$W$41:$W$364,Assumptions!$C$41:$C$364,$D$4,Assumptions!$E$41:$E$364,$C32)+SUMIFS(Assumptions!$AC$41:$AC$364,Assumptions!$C$41:$C$364,$D$4,Assumptions!$E$41:$E$364,$C32)+SUMIFS(Assumptions!$AD$41:$AD$364,Assumptions!$C$41:$C$364,$D$4,Assumptions!$E$41:$E$364,$C32)+SUMIFS(Assumptions!$AG$41:$AG$364,Assumptions!$C$41:$C$364,$D$4,Assumptions!$E$41:$E$364,$C32))/2)=0,0,SUMIFS(Assumptions!$AI$41:$AI$364,Assumptions!$C$41:$C$364,$D$4,Assumptions!$E$41:$E$364,$C32)*S32/((SUMIFS(Assumptions!$W$41:$W$364,Assumptions!$C$41:$C$364,$D$4,Assumptions!$E$41:$E$364,$C32)+SUMIFS(Assumptions!$AC$41:$AC$364,Assumptions!$C$41:$C$364,$D$4,Assumptions!$E$41:$E$364,$C32)+SUMIFS(Assumptions!$AD$41:$AD$364,Assumptions!$C$41:$C$364,$D$4,Assumptions!$E$41:$E$364,$C32)+SUMIFS(Assumptions!$AG$41:$AG$364,Assumptions!$C$41:$C$364,$D$4,Assumptions!$E$41:$E$364,$C32))/2)*(Assumptions!$D$19/6.57%))+Assumptions!$D$20*S32*H32/365)</f>
        <v>3.052911328125</v>
      </c>
      <c r="U32" s="16" t="n">
        <f aca="false">SUMIFS(Assumptions!$AJ$41:$AJ$364,Assumptions!$C$41:$C$364,$D$4,Assumptions!$E$41:$E$364,$C32)</f>
        <v>0.66925</v>
      </c>
      <c r="V32" s="16" t="n">
        <f aca="false">SUMIFS(Assumptions!$AK$41:$AK$364,Assumptions!$C$41:$C$364,$D$4,Assumptions!$E$41:$E$364,$C32)+SUMIFS(Assumptions!$AL$41:$AL$364,Assumptions!$C$41:$C$364,$D$4,Assumptions!$E$41:$E$364,$C32)</f>
        <v>1.625</v>
      </c>
      <c r="W32" s="16" t="n">
        <f aca="false">W31+(SUMIFS(Assumptions!$V$41:$V$364,Assumptions!$C$41:$C$364,$D$4,Assumptions!$E$41:$E$364,$C32)-SUMIFS(Assumptions!$U$41:$U$364,Assumptions!$C$41:$C$364,$D$4,Assumptions!$E$41:$E$364,$C32))+(Assumptions!$D$25+IF($C32="P001",-SUMIFS(Assumptions!$L$41:$L$364,Assumptions!$C$41:$C$364,$D$4,Assumptions!$E$41:$E$364,$C32)/365*Assumptions!$D$23,0))+(IF((Assumptions!$D$25+IF($C32="P001",-SUMIFS(Assumptions!$L$41:$L$364,Assumptions!$C$41:$C$364,$D$4,Assumptions!$E$41:$E$364,$C32)/365*Assumptions!$D$23,0))&lt;0,MIN(MAX(0,Assumptions!$D$14-Assumptions!$D$16-O32),-(Assumptions!$D$25+IF($C32="P001",-SUMIFS(Assumptions!$L$41:$L$364,Assumptions!$C$41:$C$364,$D$4,Assumptions!$E$41:$E$364,$C32)/365*Assumptions!$D$23,0))),0))-(IF((Assumptions!$D$25+IF($C32="P001",-SUMIFS(Assumptions!$L$41:$L$364,Assumptions!$C$41:$C$364,$D$4,Assumptions!$E$41:$E$364,$C32)/365*Assumptions!$D$23,0))&gt;0,MIN(O32,(Assumptions!$D$25+IF($C32="P001",-SUMIFS(Assumptions!$L$41:$L$364,Assumptions!$C$41:$C$364,$D$4,Assumptions!$E$41:$E$364,$C32)/365*Assumptions!$D$23,0))),0))</f>
        <v>29.254226884938</v>
      </c>
      <c r="X32" s="16" t="n">
        <f aca="false">N32+R32</f>
        <v>547.402023115062</v>
      </c>
      <c r="Y32" s="16" t="n">
        <f aca="false">Assumptions!$D$17</f>
        <v>62.619</v>
      </c>
      <c r="Z32" s="16" t="n">
        <f aca="false">X32+Y32</f>
        <v>610.021023115062</v>
      </c>
      <c r="AA32" s="16" t="n">
        <f aca="false">MAX(0,Assumptions!$D$14-Assumptions!$D$16-R32)</f>
        <v>293.8</v>
      </c>
      <c r="AB32" s="16" t="n">
        <f aca="false">MAX(0,W32-Assumptions!$D$24)+AA32</f>
        <v>298.054226884938</v>
      </c>
      <c r="AC32" s="16" t="n">
        <f aca="false">SUMIFS(Assumptions!$AM$41:$AM$364,Assumptions!$C$41:$C$364,$D$4,Assumptions!$E$41:$E$364,$C32)+MAX(0,-W32)</f>
        <v>0</v>
      </c>
      <c r="AD32" s="14" t="str">
        <f aca="false">IF(COUNTIFS(Assumptions!$C$41:$C$364,$D$4,Assumptions!$E$41:$E$364,$C32,Assumptions!$AR$41:$AR$364,"*shutoff_active*")&gt;0,"SHUTOFF","AVAILABLE")</f>
        <v>AVAILABLE</v>
      </c>
    </row>
    <row r="33" customFormat="false" ht="15" hidden="false" customHeight="false" outlineLevel="0" collapsed="false">
      <c r="C33" s="14" t="s">
        <v>327</v>
      </c>
      <c r="D33" s="29" t="n">
        <v>46721</v>
      </c>
      <c r="E33" s="14" t="s">
        <v>253</v>
      </c>
      <c r="F33" s="14" t="s">
        <v>328</v>
      </c>
      <c r="G33" s="14" t="s">
        <v>303</v>
      </c>
      <c r="H33" s="14" t="n">
        <v>30</v>
      </c>
      <c r="I33" s="16" t="n">
        <f aca="false">SUMIFS(Assumptions!$T$41:$T$364,Assumptions!$C$41:$C$364,$D$4,Assumptions!$E$41:$E$364,$C33)+(Assumptions!$D$25+IF($C33="P001",-SUMIFS(Assumptions!$L$41:$L$364,Assumptions!$C$41:$C$364,$D$4,Assumptions!$E$41:$E$364,$C33)/365*Assumptions!$D$23,0))</f>
        <v>5.21599971904897</v>
      </c>
      <c r="J33" s="16" t="n">
        <f aca="false">N32</f>
        <v>547.402023115062</v>
      </c>
      <c r="K33" s="16" t="n">
        <f aca="false">SUMIFS(Assumptions!$Y$41:$Y$364,Assumptions!$C$41:$C$364,$D$4,Assumptions!$E$41:$E$364,$C33)*(Assumptions!$D$12/635)*(Assumptions!$D$18/7.5%)</f>
        <v>0</v>
      </c>
      <c r="L33" s="16" t="n">
        <f aca="false">SUMIFS(Assumptions!$Z$41:$Z$364,Assumptions!$C$41:$C$364,$D$4,Assumptions!$E$41:$E$364,$C33)*(Assumptions!$D$26/50%)*IF(SUMIFS(Assumptions!$AO$41:$AO$364,Assumptions!$C$41:$C$364,$D$4,Assumptions!$E$41:$E$364,$C33)&gt;Assumptions!$D$24,1,0)</f>
        <v>0</v>
      </c>
      <c r="M33" s="16" t="n">
        <f aca="false">SUMIFS(Assumptions!$AB$41:$AB$364,Assumptions!$C$41:$C$364,$D$4,Assumptions!$E$41:$E$364,$C33)</f>
        <v>0</v>
      </c>
      <c r="N33" s="16" t="n">
        <f aca="false">MAX(0,J33-K33-L33-M33)</f>
        <v>547.402023115062</v>
      </c>
      <c r="O33" s="16" t="n">
        <f aca="false">R32</f>
        <v>0</v>
      </c>
      <c r="P33" s="16" t="n">
        <f aca="false">SUMIFS(Assumptions!$AE$41:$AE$364,Assumptions!$C$41:$C$364,$D$4,Assumptions!$E$41:$E$364,$C33)+IF((Assumptions!$D$25+IF($C33="P001",-SUMIFS(Assumptions!$L$41:$L$364,Assumptions!$C$41:$C$364,$D$4,Assumptions!$E$41:$E$364,$C33)/365*Assumptions!$D$23,0))&lt;0,MIN(MAX(0,Assumptions!$D$14-Assumptions!$D$16-O33),-(Assumptions!$D$25+IF($C33="P001",-SUMIFS(Assumptions!$L$41:$L$364,Assumptions!$C$41:$C$364,$D$4,Assumptions!$E$41:$E$364,$C33)/365*Assumptions!$D$23,0))),0)</f>
        <v>0</v>
      </c>
      <c r="Q33" s="16" t="n">
        <f aca="false">SUMIFS(Assumptions!$AF$41:$AF$364,Assumptions!$C$41:$C$364,$D$4,Assumptions!$E$41:$E$364,$C33)+IF((Assumptions!$D$25+IF($C33="P001",-SUMIFS(Assumptions!$L$41:$L$364,Assumptions!$C$41:$C$364,$D$4,Assumptions!$E$41:$E$364,$C33)/365*Assumptions!$D$23,0))&gt;0,MIN(O33,(Assumptions!$D$25+IF($C33="P001",-SUMIFS(Assumptions!$L$41:$L$364,Assumptions!$C$41:$C$364,$D$4,Assumptions!$E$41:$E$364,$C33)/365*Assumptions!$D$23,0))),0)</f>
        <v>0</v>
      </c>
      <c r="R33" s="16" t="n">
        <f aca="false">MAX(0,O33+P33-Q33)</f>
        <v>0</v>
      </c>
      <c r="S33" s="16" t="n">
        <f aca="false">(J33+N33+O33+R33)/2</f>
        <v>547.402023115062</v>
      </c>
      <c r="T33" s="16" t="n">
        <f aca="false">IF(Assumptions!$D$19="","",IF(((SUMIFS(Assumptions!$W$41:$W$364,Assumptions!$C$41:$C$364,$D$4,Assumptions!$E$41:$E$364,$C33)+SUMIFS(Assumptions!$AC$41:$AC$364,Assumptions!$C$41:$C$364,$D$4,Assumptions!$E$41:$E$364,$C33)+SUMIFS(Assumptions!$AD$41:$AD$364,Assumptions!$C$41:$C$364,$D$4,Assumptions!$E$41:$E$364,$C33)+SUMIFS(Assumptions!$AG$41:$AG$364,Assumptions!$C$41:$C$364,$D$4,Assumptions!$E$41:$E$364,$C33))/2)=0,0,SUMIFS(Assumptions!$AI$41:$AI$364,Assumptions!$C$41:$C$364,$D$4,Assumptions!$E$41:$E$364,$C33)*S33/((SUMIFS(Assumptions!$W$41:$W$364,Assumptions!$C$41:$C$364,$D$4,Assumptions!$E$41:$E$364,$C33)+SUMIFS(Assumptions!$AC$41:$AC$364,Assumptions!$C$41:$C$364,$D$4,Assumptions!$E$41:$E$364,$C33)+SUMIFS(Assumptions!$AD$41:$AD$364,Assumptions!$C$41:$C$364,$D$4,Assumptions!$E$41:$E$364,$C33)+SUMIFS(Assumptions!$AG$41:$AG$364,Assumptions!$C$41:$C$364,$D$4,Assumptions!$E$41:$E$364,$C33))/2)*(Assumptions!$D$19/6.57%))+Assumptions!$D$20*S33*H33/365)</f>
        <v>2.99702607655496</v>
      </c>
      <c r="U33" s="16" t="n">
        <f aca="false">SUMIFS(Assumptions!$AJ$41:$AJ$364,Assumptions!$C$41:$C$364,$D$4,Assumptions!$E$41:$E$364,$C33)</f>
        <v>0.569166666666667</v>
      </c>
      <c r="V33" s="16" t="n">
        <f aca="false">SUMIFS(Assumptions!$AK$41:$AK$364,Assumptions!$C$41:$C$364,$D$4,Assumptions!$E$41:$E$364,$C33)+SUMIFS(Assumptions!$AL$41:$AL$364,Assumptions!$C$41:$C$364,$D$4,Assumptions!$E$41:$E$364,$C33)</f>
        <v>1.625</v>
      </c>
      <c r="W33" s="16" t="n">
        <f aca="false">W32+(SUMIFS(Assumptions!$V$41:$V$364,Assumptions!$C$41:$C$364,$D$4,Assumptions!$E$41:$E$364,$C33)-SUMIFS(Assumptions!$U$41:$U$364,Assumptions!$C$41:$C$364,$D$4,Assumptions!$E$41:$E$364,$C33))+(Assumptions!$D$25+IF($C33="P001",-SUMIFS(Assumptions!$L$41:$L$364,Assumptions!$C$41:$C$364,$D$4,Assumptions!$E$41:$E$364,$C33)/365*Assumptions!$D$23,0))+(IF((Assumptions!$D$25+IF($C33="P001",-SUMIFS(Assumptions!$L$41:$L$364,Assumptions!$C$41:$C$364,$D$4,Assumptions!$E$41:$E$364,$C33)/365*Assumptions!$D$23,0))&lt;0,MIN(MAX(0,Assumptions!$D$14-Assumptions!$D$16-O33),-(Assumptions!$D$25+IF($C33="P001",-SUMIFS(Assumptions!$L$41:$L$364,Assumptions!$C$41:$C$364,$D$4,Assumptions!$E$41:$E$364,$C33)/365*Assumptions!$D$23,0))),0))-(IF((Assumptions!$D$25+IF($C33="P001",-SUMIFS(Assumptions!$L$41:$L$364,Assumptions!$C$41:$C$364,$D$4,Assumptions!$E$41:$E$364,$C33)/365*Assumptions!$D$23,0))&gt;0,MIN(O33,(Assumptions!$D$25+IF($C33="P001",-SUMIFS(Assumptions!$L$41:$L$364,Assumptions!$C$41:$C$364,$D$4,Assumptions!$E$41:$E$364,$C33)/365*Assumptions!$D$23,0))),0))</f>
        <v>29.2790338607654</v>
      </c>
      <c r="X33" s="16" t="n">
        <f aca="false">N33+R33</f>
        <v>547.402023115062</v>
      </c>
      <c r="Y33" s="16" t="n">
        <f aca="false">Assumptions!$D$17</f>
        <v>62.619</v>
      </c>
      <c r="Z33" s="16" t="n">
        <f aca="false">X33+Y33</f>
        <v>610.021023115062</v>
      </c>
      <c r="AA33" s="16" t="n">
        <f aca="false">MAX(0,Assumptions!$D$14-Assumptions!$D$16-R33)</f>
        <v>293.8</v>
      </c>
      <c r="AB33" s="16" t="n">
        <f aca="false">MAX(0,W33-Assumptions!$D$24)+AA33</f>
        <v>298.079033860765</v>
      </c>
      <c r="AC33" s="16" t="n">
        <f aca="false">SUMIFS(Assumptions!$AM$41:$AM$364,Assumptions!$C$41:$C$364,$D$4,Assumptions!$E$41:$E$364,$C33)+MAX(0,-W33)</f>
        <v>0</v>
      </c>
      <c r="AD33" s="14" t="str">
        <f aca="false">IF(COUNTIFS(Assumptions!$C$41:$C$364,$D$4,Assumptions!$E$41:$E$364,$C33,Assumptions!$AR$41:$AR$364,"*shutoff_active*")&gt;0,"SHUTOFF","AVAILABLE")</f>
        <v>AVAILABLE</v>
      </c>
    </row>
    <row r="34" customFormat="false" ht="15" hidden="false" customHeight="false" outlineLevel="0" collapsed="false">
      <c r="C34" s="14" t="s">
        <v>330</v>
      </c>
      <c r="D34" s="29" t="n">
        <v>46752</v>
      </c>
      <c r="E34" s="14" t="s">
        <v>253</v>
      </c>
      <c r="F34" s="14" t="s">
        <v>328</v>
      </c>
      <c r="G34" s="14" t="s">
        <v>303</v>
      </c>
      <c r="H34" s="14" t="n">
        <v>31</v>
      </c>
      <c r="I34" s="16" t="n">
        <f aca="false">SUMIFS(Assumptions!$T$41:$T$364,Assumptions!$C$41:$C$364,$D$4,Assumptions!$E$41:$E$364,$C34)+(Assumptions!$D$25+IF($C34="P001",-SUMIFS(Assumptions!$L$41:$L$364,Assumptions!$C$41:$C$364,$D$4,Assumptions!$E$41:$E$364,$C34)/365*Assumptions!$D$23,0))</f>
        <v>5.21599971904897</v>
      </c>
      <c r="J34" s="16" t="n">
        <f aca="false">N33</f>
        <v>547.402023115062</v>
      </c>
      <c r="K34" s="16" t="n">
        <f aca="false">SUMIFS(Assumptions!$Y$41:$Y$364,Assumptions!$C$41:$C$364,$D$4,Assumptions!$E$41:$E$364,$C34)*(Assumptions!$D$12/635)*(Assumptions!$D$18/7.5%)</f>
        <v>0</v>
      </c>
      <c r="L34" s="16" t="n">
        <f aca="false">SUMIFS(Assumptions!$Z$41:$Z$364,Assumptions!$C$41:$C$364,$D$4,Assumptions!$E$41:$E$364,$C34)*(Assumptions!$D$26/50%)*IF(SUMIFS(Assumptions!$AO$41:$AO$364,Assumptions!$C$41:$C$364,$D$4,Assumptions!$E$41:$E$364,$C34)&gt;Assumptions!$D$24,1,0)</f>
        <v>0</v>
      </c>
      <c r="M34" s="16" t="n">
        <f aca="false">SUMIFS(Assumptions!$AB$41:$AB$364,Assumptions!$C$41:$C$364,$D$4,Assumptions!$E$41:$E$364,$C34)</f>
        <v>0</v>
      </c>
      <c r="N34" s="16" t="n">
        <f aca="false">MAX(0,J34-K34-L34-M34)</f>
        <v>547.402023115062</v>
      </c>
      <c r="O34" s="16" t="n">
        <f aca="false">R33</f>
        <v>0</v>
      </c>
      <c r="P34" s="16" t="n">
        <f aca="false">SUMIFS(Assumptions!$AE$41:$AE$364,Assumptions!$C$41:$C$364,$D$4,Assumptions!$E$41:$E$364,$C34)+IF((Assumptions!$D$25+IF($C34="P001",-SUMIFS(Assumptions!$L$41:$L$364,Assumptions!$C$41:$C$364,$D$4,Assumptions!$E$41:$E$364,$C34)/365*Assumptions!$D$23,0))&lt;0,MIN(MAX(0,Assumptions!$D$14-Assumptions!$D$16-O34),-(Assumptions!$D$25+IF($C34="P001",-SUMIFS(Assumptions!$L$41:$L$364,Assumptions!$C$41:$C$364,$D$4,Assumptions!$E$41:$E$364,$C34)/365*Assumptions!$D$23,0))),0)</f>
        <v>0</v>
      </c>
      <c r="Q34" s="16" t="n">
        <f aca="false">SUMIFS(Assumptions!$AF$41:$AF$364,Assumptions!$C$41:$C$364,$D$4,Assumptions!$E$41:$E$364,$C34)+IF((Assumptions!$D$25+IF($C34="P001",-SUMIFS(Assumptions!$L$41:$L$364,Assumptions!$C$41:$C$364,$D$4,Assumptions!$E$41:$E$364,$C34)/365*Assumptions!$D$23,0))&gt;0,MIN(O34,(Assumptions!$D$25+IF($C34="P001",-SUMIFS(Assumptions!$L$41:$L$364,Assumptions!$C$41:$C$364,$D$4,Assumptions!$E$41:$E$364,$C34)/365*Assumptions!$D$23,0))),0)</f>
        <v>0</v>
      </c>
      <c r="R34" s="16" t="n">
        <f aca="false">MAX(0,O34+P34-Q34)</f>
        <v>0</v>
      </c>
      <c r="S34" s="16" t="n">
        <f aca="false">(J34+N34+O34+R34)/2</f>
        <v>547.402023115062</v>
      </c>
      <c r="T34" s="16" t="n">
        <f aca="false">IF(Assumptions!$D$19="","",IF(((SUMIFS(Assumptions!$W$41:$W$364,Assumptions!$C$41:$C$364,$D$4,Assumptions!$E$41:$E$364,$C34)+SUMIFS(Assumptions!$AC$41:$AC$364,Assumptions!$C$41:$C$364,$D$4,Assumptions!$E$41:$E$364,$C34)+SUMIFS(Assumptions!$AD$41:$AD$364,Assumptions!$C$41:$C$364,$D$4,Assumptions!$E$41:$E$364,$C34)+SUMIFS(Assumptions!$AG$41:$AG$364,Assumptions!$C$41:$C$364,$D$4,Assumptions!$E$41:$E$364,$C34))/2)=0,0,SUMIFS(Assumptions!$AI$41:$AI$364,Assumptions!$C$41:$C$364,$D$4,Assumptions!$E$41:$E$364,$C34)*S34/((SUMIFS(Assumptions!$W$41:$W$364,Assumptions!$C$41:$C$364,$D$4,Assumptions!$E$41:$E$364,$C34)+SUMIFS(Assumptions!$AC$41:$AC$364,Assumptions!$C$41:$C$364,$D$4,Assumptions!$E$41:$E$364,$C34)+SUMIFS(Assumptions!$AD$41:$AD$364,Assumptions!$C$41:$C$364,$D$4,Assumptions!$E$41:$E$364,$C34)+SUMIFS(Assumptions!$AG$41:$AG$364,Assumptions!$C$41:$C$364,$D$4,Assumptions!$E$41:$E$364,$C34))/2)*(Assumptions!$D$19/6.57%))+Assumptions!$D$20*S34*H34/365)</f>
        <v>2.99702607655496</v>
      </c>
      <c r="U34" s="16" t="n">
        <f aca="false">SUMIFS(Assumptions!$AJ$41:$AJ$364,Assumptions!$C$41:$C$364,$D$4,Assumptions!$E$41:$E$364,$C34)</f>
        <v>0.569166666666667</v>
      </c>
      <c r="V34" s="16" t="n">
        <f aca="false">SUMIFS(Assumptions!$AK$41:$AK$364,Assumptions!$C$41:$C$364,$D$4,Assumptions!$E$41:$E$364,$C34)+SUMIFS(Assumptions!$AL$41:$AL$364,Assumptions!$C$41:$C$364,$D$4,Assumptions!$E$41:$E$364,$C34)</f>
        <v>1.625</v>
      </c>
      <c r="W34" s="16" t="n">
        <f aca="false">W33+(SUMIFS(Assumptions!$V$41:$V$364,Assumptions!$C$41:$C$364,$D$4,Assumptions!$E$41:$E$364,$C34)-SUMIFS(Assumptions!$U$41:$U$364,Assumptions!$C$41:$C$364,$D$4,Assumptions!$E$41:$E$364,$C34))+(Assumptions!$D$25+IF($C34="P001",-SUMIFS(Assumptions!$L$41:$L$364,Assumptions!$C$41:$C$364,$D$4,Assumptions!$E$41:$E$364,$C34)/365*Assumptions!$D$23,0))+(IF((Assumptions!$D$25+IF($C34="P001",-SUMIFS(Assumptions!$L$41:$L$364,Assumptions!$C$41:$C$364,$D$4,Assumptions!$E$41:$E$364,$C34)/365*Assumptions!$D$23,0))&lt;0,MIN(MAX(0,Assumptions!$D$14-Assumptions!$D$16-O34),-(Assumptions!$D$25+IF($C34="P001",-SUMIFS(Assumptions!$L$41:$L$364,Assumptions!$C$41:$C$364,$D$4,Assumptions!$E$41:$E$364,$C34)/365*Assumptions!$D$23,0))),0))-(IF((Assumptions!$D$25+IF($C34="P001",-SUMIFS(Assumptions!$L$41:$L$364,Assumptions!$C$41:$C$364,$D$4,Assumptions!$E$41:$E$364,$C34)/365*Assumptions!$D$23,0))&gt;0,MIN(O34,(Assumptions!$D$25+IF($C34="P001",-SUMIFS(Assumptions!$L$41:$L$364,Assumptions!$C$41:$C$364,$D$4,Assumptions!$E$41:$E$364,$C34)/365*Assumptions!$D$23,0))),0))</f>
        <v>29.3038408365927</v>
      </c>
      <c r="X34" s="16" t="n">
        <f aca="false">N34+R34</f>
        <v>547.402023115062</v>
      </c>
      <c r="Y34" s="16" t="n">
        <f aca="false">Assumptions!$D$17</f>
        <v>62.619</v>
      </c>
      <c r="Z34" s="16" t="n">
        <f aca="false">X34+Y34</f>
        <v>610.021023115062</v>
      </c>
      <c r="AA34" s="16" t="n">
        <f aca="false">MAX(0,Assumptions!$D$14-Assumptions!$D$16-R34)</f>
        <v>293.8</v>
      </c>
      <c r="AB34" s="16" t="n">
        <f aca="false">MAX(0,W34-Assumptions!$D$24)+AA34</f>
        <v>298.103840836593</v>
      </c>
      <c r="AC34" s="16" t="n">
        <f aca="false">SUMIFS(Assumptions!$AM$41:$AM$364,Assumptions!$C$41:$C$364,$D$4,Assumptions!$E$41:$E$364,$C34)+MAX(0,-W34)</f>
        <v>0</v>
      </c>
      <c r="AD34" s="14" t="str">
        <f aca="false">IF(COUNTIFS(Assumptions!$C$41:$C$364,$D$4,Assumptions!$E$41:$E$364,$C34,Assumptions!$AR$41:$AR$364,"*shutoff_active*")&gt;0,"SHUTOFF","AVAILABLE")</f>
        <v>AVAILABLE</v>
      </c>
    </row>
    <row r="35" customFormat="false" ht="15" hidden="false" customHeight="false" outlineLevel="0" collapsed="false">
      <c r="C35" s="14" t="s">
        <v>332</v>
      </c>
      <c r="D35" s="29" t="n">
        <v>46783</v>
      </c>
      <c r="E35" s="14" t="s">
        <v>253</v>
      </c>
      <c r="F35" s="14" t="s">
        <v>328</v>
      </c>
      <c r="G35" s="14" t="s">
        <v>303</v>
      </c>
      <c r="H35" s="14" t="n">
        <v>31</v>
      </c>
      <c r="I35" s="16" t="n">
        <f aca="false">SUMIFS(Assumptions!$T$41:$T$364,Assumptions!$C$41:$C$364,$D$4,Assumptions!$E$41:$E$364,$C35)+(Assumptions!$D$25+IF($C35="P001",-SUMIFS(Assumptions!$L$41:$L$364,Assumptions!$C$41:$C$364,$D$4,Assumptions!$E$41:$E$364,$C35)/365*Assumptions!$D$23,0))</f>
        <v>5.21599971904897</v>
      </c>
      <c r="J35" s="16" t="n">
        <f aca="false">N34</f>
        <v>547.402023115062</v>
      </c>
      <c r="K35" s="16" t="n">
        <f aca="false">SUMIFS(Assumptions!$Y$41:$Y$364,Assumptions!$C$41:$C$364,$D$4,Assumptions!$E$41:$E$364,$C35)*(Assumptions!$D$12/635)*(Assumptions!$D$18/7.5%)</f>
        <v>11.90625</v>
      </c>
      <c r="L35" s="16" t="n">
        <f aca="false">SUMIFS(Assumptions!$Z$41:$Z$364,Assumptions!$C$41:$C$364,$D$4,Assumptions!$E$41:$E$364,$C35)*(Assumptions!$D$26/50%)*IF(SUMIFS(Assumptions!$AO$41:$AO$364,Assumptions!$C$41:$C$364,$D$4,Assumptions!$E$41:$E$364,$C35)&gt;Assumptions!$D$24,1,0)</f>
        <v>0</v>
      </c>
      <c r="M35" s="16" t="n">
        <f aca="false">SUMIFS(Assumptions!$AB$41:$AB$364,Assumptions!$C$41:$C$364,$D$4,Assumptions!$E$41:$E$364,$C35)</f>
        <v>0</v>
      </c>
      <c r="N35" s="16" t="n">
        <f aca="false">MAX(0,J35-K35-L35-M35)</f>
        <v>535.495773115062</v>
      </c>
      <c r="O35" s="16" t="n">
        <f aca="false">R34</f>
        <v>0</v>
      </c>
      <c r="P35" s="16" t="n">
        <f aca="false">SUMIFS(Assumptions!$AE$41:$AE$364,Assumptions!$C$41:$C$364,$D$4,Assumptions!$E$41:$E$364,$C35)+IF((Assumptions!$D$25+IF($C35="P001",-SUMIFS(Assumptions!$L$41:$L$364,Assumptions!$C$41:$C$364,$D$4,Assumptions!$E$41:$E$364,$C35)/365*Assumptions!$D$23,0))&lt;0,MIN(MAX(0,Assumptions!$D$14-Assumptions!$D$16-O35),-(Assumptions!$D$25+IF($C35="P001",-SUMIFS(Assumptions!$L$41:$L$364,Assumptions!$C$41:$C$364,$D$4,Assumptions!$E$41:$E$364,$C35)/365*Assumptions!$D$23,0))),0)</f>
        <v>7.56571998666729</v>
      </c>
      <c r="Q35" s="16" t="n">
        <f aca="false">SUMIFS(Assumptions!$AF$41:$AF$364,Assumptions!$C$41:$C$364,$D$4,Assumptions!$E$41:$E$364,$C35)+IF((Assumptions!$D$25+IF($C35="P001",-SUMIFS(Assumptions!$L$41:$L$364,Assumptions!$C$41:$C$364,$D$4,Assumptions!$E$41:$E$364,$C35)/365*Assumptions!$D$23,0))&gt;0,MIN(O35,(Assumptions!$D$25+IF($C35="P001",-SUMIFS(Assumptions!$L$41:$L$364,Assumptions!$C$41:$C$364,$D$4,Assumptions!$E$41:$E$364,$C35)/365*Assumptions!$D$23,0))),0)</f>
        <v>0</v>
      </c>
      <c r="R35" s="16" t="n">
        <f aca="false">MAX(0,O35+P35-Q35)</f>
        <v>7.56571998666729</v>
      </c>
      <c r="S35" s="16" t="n">
        <f aca="false">(J35+N35+O35+R35)/2</f>
        <v>545.231758108396</v>
      </c>
      <c r="T35" s="16" t="n">
        <f aca="false">IF(Assumptions!$D$19="","",IF(((SUMIFS(Assumptions!$W$41:$W$364,Assumptions!$C$41:$C$364,$D$4,Assumptions!$E$41:$E$364,$C35)+SUMIFS(Assumptions!$AC$41:$AC$364,Assumptions!$C$41:$C$364,$D$4,Assumptions!$E$41:$E$364,$C35)+SUMIFS(Assumptions!$AD$41:$AD$364,Assumptions!$C$41:$C$364,$D$4,Assumptions!$E$41:$E$364,$C35)+SUMIFS(Assumptions!$AG$41:$AG$364,Assumptions!$C$41:$C$364,$D$4,Assumptions!$E$41:$E$364,$C35))/2)=0,0,SUMIFS(Assumptions!$AI$41:$AI$364,Assumptions!$C$41:$C$364,$D$4,Assumptions!$E$41:$E$364,$C35)*S35/((SUMIFS(Assumptions!$W$41:$W$364,Assumptions!$C$41:$C$364,$D$4,Assumptions!$E$41:$E$364,$C35)+SUMIFS(Assumptions!$AC$41:$AC$364,Assumptions!$C$41:$C$364,$D$4,Assumptions!$E$41:$E$364,$C35)+SUMIFS(Assumptions!$AD$41:$AD$364,Assumptions!$C$41:$C$364,$D$4,Assumptions!$E$41:$E$364,$C35)+SUMIFS(Assumptions!$AG$41:$AG$364,Assumptions!$C$41:$C$364,$D$4,Assumptions!$E$41:$E$364,$C35))/2)*(Assumptions!$D$19/6.57%))+Assumptions!$D$20*S35*H35/365)</f>
        <v>2.98514387564231</v>
      </c>
      <c r="U35" s="16" t="n">
        <f aca="false">SUMIFS(Assumptions!$AJ$41:$AJ$364,Assumptions!$C$41:$C$364,$D$4,Assumptions!$E$41:$E$364,$C35)</f>
        <v>0.569166666666667</v>
      </c>
      <c r="V35" s="16" t="n">
        <f aca="false">SUMIFS(Assumptions!$AK$41:$AK$364,Assumptions!$C$41:$C$364,$D$4,Assumptions!$E$41:$E$364,$C35)+SUMIFS(Assumptions!$AL$41:$AL$364,Assumptions!$C$41:$C$364,$D$4,Assumptions!$E$41:$E$364,$C35)</f>
        <v>1.625</v>
      </c>
      <c r="W35" s="16" t="n">
        <f aca="false">W34+(SUMIFS(Assumptions!$V$41:$V$364,Assumptions!$C$41:$C$364,$D$4,Assumptions!$E$41:$E$364,$C35)-SUMIFS(Assumptions!$U$41:$U$364,Assumptions!$C$41:$C$364,$D$4,Assumptions!$E$41:$E$364,$C35))+(Assumptions!$D$25+IF($C35="P001",-SUMIFS(Assumptions!$L$41:$L$364,Assumptions!$C$41:$C$364,$D$4,Assumptions!$E$41:$E$364,$C35)/365*Assumptions!$D$23,0))+(IF((Assumptions!$D$25+IF($C35="P001",-SUMIFS(Assumptions!$L$41:$L$364,Assumptions!$C$41:$C$364,$D$4,Assumptions!$E$41:$E$364,$C35)/365*Assumptions!$D$23,0))&lt;0,MIN(MAX(0,Assumptions!$D$14-Assumptions!$D$16-O35),-(Assumptions!$D$25+IF($C35="P001",-SUMIFS(Assumptions!$L$41:$L$364,Assumptions!$C$41:$C$364,$D$4,Assumptions!$E$41:$E$364,$C35)/365*Assumptions!$D$23,0))),0))-(IF((Assumptions!$D$25+IF($C35="P001",-SUMIFS(Assumptions!$L$41:$L$364,Assumptions!$C$41:$C$364,$D$4,Assumptions!$E$41:$E$364,$C35)/365*Assumptions!$D$23,0))&gt;0,MIN(O35,(Assumptions!$D$25+IF($C35="P001",-SUMIFS(Assumptions!$L$41:$L$364,Assumptions!$C$41:$C$364,$D$4,Assumptions!$E$41:$E$364,$C35)/365*Assumptions!$D$23,0))),0))</f>
        <v>25</v>
      </c>
      <c r="X35" s="16" t="n">
        <f aca="false">N35+R35</f>
        <v>543.061493101729</v>
      </c>
      <c r="Y35" s="16" t="n">
        <f aca="false">Assumptions!$D$17</f>
        <v>62.619</v>
      </c>
      <c r="Z35" s="16" t="n">
        <f aca="false">X35+Y35</f>
        <v>605.680493101729</v>
      </c>
      <c r="AA35" s="16" t="n">
        <f aca="false">MAX(0,Assumptions!$D$14-Assumptions!$D$16-R35)</f>
        <v>286.234280013333</v>
      </c>
      <c r="AB35" s="16" t="n">
        <f aca="false">MAX(0,W35-Assumptions!$D$24)+AA35</f>
        <v>286.234280013333</v>
      </c>
      <c r="AC35" s="16" t="n">
        <f aca="false">SUMIFS(Assumptions!$AM$41:$AM$364,Assumptions!$C$41:$C$364,$D$4,Assumptions!$E$41:$E$364,$C35)+MAX(0,-W35)</f>
        <v>0</v>
      </c>
      <c r="AD35" s="14" t="str">
        <f aca="false">IF(COUNTIFS(Assumptions!$C$41:$C$364,$D$4,Assumptions!$E$41:$E$364,$C35,Assumptions!$AR$41:$AR$364,"*shutoff_active*")&gt;0,"SHUTOFF","AVAILABLE")</f>
        <v>AVAILABLE</v>
      </c>
    </row>
    <row r="36" customFormat="false" ht="15" hidden="false" customHeight="false" outlineLevel="0" collapsed="false">
      <c r="C36" s="14" t="s">
        <v>334</v>
      </c>
      <c r="D36" s="29" t="n">
        <v>46873</v>
      </c>
      <c r="E36" s="14" t="s">
        <v>335</v>
      </c>
      <c r="F36" s="14" t="s">
        <v>328</v>
      </c>
      <c r="G36" s="14" t="s">
        <v>255</v>
      </c>
      <c r="H36" s="14" t="n">
        <v>90</v>
      </c>
      <c r="I36" s="16" t="n">
        <f aca="false">SUMIFS(Assumptions!$T$41:$T$364,Assumptions!$C$41:$C$364,$D$4,Assumptions!$E$41:$E$364,$C36)+(Assumptions!$D$25+IF($C36="P001",-SUMIFS(Assumptions!$L$41:$L$364,Assumptions!$C$41:$C$364,$D$4,Assumptions!$E$41:$E$364,$C36)/365*Assumptions!$D$23,0))</f>
        <v>37.9219730455145</v>
      </c>
      <c r="J36" s="16" t="n">
        <f aca="false">N35</f>
        <v>535.495773115062</v>
      </c>
      <c r="K36" s="16" t="n">
        <f aca="false">SUMIFS(Assumptions!$Y$41:$Y$364,Assumptions!$C$41:$C$364,$D$4,Assumptions!$E$41:$E$364,$C36)*(Assumptions!$D$12/635)*(Assumptions!$D$18/7.5%)</f>
        <v>11.90625</v>
      </c>
      <c r="L36" s="16" t="n">
        <f aca="false">SUMIFS(Assumptions!$Z$41:$Z$364,Assumptions!$C$41:$C$364,$D$4,Assumptions!$E$41:$E$364,$C36)*(Assumptions!$D$26/50%)*IF(SUMIFS(Assumptions!$AO$41:$AO$364,Assumptions!$C$41:$C$364,$D$4,Assumptions!$E$41:$E$364,$C36)&gt;Assumptions!$D$24,1,0)</f>
        <v>0</v>
      </c>
      <c r="M36" s="16" t="n">
        <f aca="false">SUMIFS(Assumptions!$AB$41:$AB$364,Assumptions!$C$41:$C$364,$D$4,Assumptions!$E$41:$E$364,$C36)</f>
        <v>0</v>
      </c>
      <c r="N36" s="16" t="n">
        <f aca="false">MAX(0,J36-K36-L36-M36)</f>
        <v>523.589523115062</v>
      </c>
      <c r="O36" s="16" t="n">
        <f aca="false">R35</f>
        <v>7.56571998666729</v>
      </c>
      <c r="P36" s="16" t="n">
        <f aca="false">SUMIFS(Assumptions!$AE$41:$AE$364,Assumptions!$C$41:$C$364,$D$4,Assumptions!$E$41:$E$364,$C36)+IF((Assumptions!$D$25+IF($C36="P001",-SUMIFS(Assumptions!$L$41:$L$364,Assumptions!$C$41:$C$364,$D$4,Assumptions!$E$41:$E$364,$C36)/365*Assumptions!$D$23,0))&lt;0,MIN(MAX(0,Assumptions!$D$14-Assumptions!$D$16-O36),-(Assumptions!$D$25+IF($C36="P001",-SUMIFS(Assumptions!$L$41:$L$364,Assumptions!$C$41:$C$364,$D$4,Assumptions!$E$41:$E$364,$C36)/365*Assumptions!$D$23,0))),0)</f>
        <v>0</v>
      </c>
      <c r="Q36" s="16" t="n">
        <f aca="false">SUMIFS(Assumptions!$AF$41:$AF$364,Assumptions!$C$41:$C$364,$D$4,Assumptions!$E$41:$E$364,$C36)+IF((Assumptions!$D$25+IF($C36="P001",-SUMIFS(Assumptions!$L$41:$L$364,Assumptions!$C$41:$C$364,$D$4,Assumptions!$E$41:$E$364,$C36)/365*Assumptions!$D$23,0))&gt;0,MIN(O36,(Assumptions!$D$25+IF($C36="P001",-SUMIFS(Assumptions!$L$41:$L$364,Assumptions!$C$41:$C$364,$D$4,Assumptions!$E$41:$E$364,$C36)/365*Assumptions!$D$23,0))),0)</f>
        <v>7.56571998666729</v>
      </c>
      <c r="R36" s="16" t="n">
        <f aca="false">MAX(0,O36+P36-Q36)</f>
        <v>0</v>
      </c>
      <c r="S36" s="16" t="n">
        <f aca="false">(J36+N36+O36+R36)/2</f>
        <v>533.325508108396</v>
      </c>
      <c r="T36" s="16" t="n">
        <f aca="false">IF(Assumptions!$D$19="","",IF(((SUMIFS(Assumptions!$W$41:$W$364,Assumptions!$C$41:$C$364,$D$4,Assumptions!$E$41:$E$364,$C36)+SUMIFS(Assumptions!$AC$41:$AC$364,Assumptions!$C$41:$C$364,$D$4,Assumptions!$E$41:$E$364,$C36)+SUMIFS(Assumptions!$AD$41:$AD$364,Assumptions!$C$41:$C$364,$D$4,Assumptions!$E$41:$E$364,$C36)+SUMIFS(Assumptions!$AG$41:$AG$364,Assumptions!$C$41:$C$364,$D$4,Assumptions!$E$41:$E$364,$C36))/2)=0,0,SUMIFS(Assumptions!$AI$41:$AI$364,Assumptions!$C$41:$C$364,$D$4,Assumptions!$E$41:$E$364,$C36)*S36/((SUMIFS(Assumptions!$W$41:$W$364,Assumptions!$C$41:$C$364,$D$4,Assumptions!$E$41:$E$364,$C36)+SUMIFS(Assumptions!$AC$41:$AC$364,Assumptions!$C$41:$C$364,$D$4,Assumptions!$E$41:$E$364,$C36)+SUMIFS(Assumptions!$AD$41:$AD$364,Assumptions!$C$41:$C$364,$D$4,Assumptions!$E$41:$E$364,$C36)+SUMIFS(Assumptions!$AG$41:$AG$364,Assumptions!$C$41:$C$364,$D$4,Assumptions!$E$41:$E$364,$C36))/2)*(Assumptions!$D$19/6.57%))+Assumptions!$D$20*S36*H36/365)</f>
        <v>8.7840299439707</v>
      </c>
      <c r="U36" s="16" t="n">
        <f aca="false">SUMIFS(Assumptions!$AJ$41:$AJ$364,Assumptions!$C$41:$C$364,$D$4,Assumptions!$E$41:$E$364,$C36)</f>
        <v>1.7075</v>
      </c>
      <c r="V36" s="16" t="n">
        <f aca="false">SUMIFS(Assumptions!$AK$41:$AK$364,Assumptions!$C$41:$C$364,$D$4,Assumptions!$E$41:$E$364,$C36)+SUMIFS(Assumptions!$AL$41:$AL$364,Assumptions!$C$41:$C$364,$D$4,Assumptions!$E$41:$E$364,$C36)</f>
        <v>4.875</v>
      </c>
      <c r="W36" s="16" t="n">
        <f aca="false">W35+(SUMIFS(Assumptions!$V$41:$V$364,Assumptions!$C$41:$C$364,$D$4,Assumptions!$E$41:$E$364,$C36)-SUMIFS(Assumptions!$U$41:$U$364,Assumptions!$C$41:$C$364,$D$4,Assumptions!$E$41:$E$364,$C36))+(Assumptions!$D$25+IF($C36="P001",-SUMIFS(Assumptions!$L$41:$L$364,Assumptions!$C$41:$C$364,$D$4,Assumptions!$E$41:$E$364,$C36)/365*Assumptions!$D$23,0))+(IF((Assumptions!$D$25+IF($C36="P001",-SUMIFS(Assumptions!$L$41:$L$364,Assumptions!$C$41:$C$364,$D$4,Assumptions!$E$41:$E$364,$C36)/365*Assumptions!$D$23,0))&lt;0,MIN(MAX(0,Assumptions!$D$14-Assumptions!$D$16-O36),-(Assumptions!$D$25+IF($C36="P001",-SUMIFS(Assumptions!$L$41:$L$364,Assumptions!$C$41:$C$364,$D$4,Assumptions!$E$41:$E$364,$C36)/365*Assumptions!$D$23,0))),0))-(IF((Assumptions!$D$25+IF($C36="P001",-SUMIFS(Assumptions!$L$41:$L$364,Assumptions!$C$41:$C$364,$D$4,Assumptions!$E$41:$E$364,$C36)/365*Assumptions!$D$23,0))&gt;0,MIN(O36,(Assumptions!$D$25+IF($C36="P001",-SUMIFS(Assumptions!$L$41:$L$364,Assumptions!$C$41:$C$364,$D$4,Assumptions!$E$41:$E$364,$C36)/365*Assumptions!$D$23,0))),0))</f>
        <v>28.0834731148765</v>
      </c>
      <c r="X36" s="16" t="n">
        <f aca="false">N36+R36</f>
        <v>523.589523115062</v>
      </c>
      <c r="Y36" s="16" t="n">
        <f aca="false">Assumptions!$D$17</f>
        <v>62.619</v>
      </c>
      <c r="Z36" s="16" t="n">
        <f aca="false">X36+Y36</f>
        <v>586.208523115062</v>
      </c>
      <c r="AA36" s="16" t="n">
        <f aca="false">MAX(0,Assumptions!$D$14-Assumptions!$D$16-R36)</f>
        <v>293.8</v>
      </c>
      <c r="AB36" s="16" t="n">
        <f aca="false">MAX(0,W36-Assumptions!$D$24)+AA36</f>
        <v>296.883473114877</v>
      </c>
      <c r="AC36" s="16" t="n">
        <f aca="false">SUMIFS(Assumptions!$AM$41:$AM$364,Assumptions!$C$41:$C$364,$D$4,Assumptions!$E$41:$E$364,$C36)+MAX(0,-W36)</f>
        <v>0</v>
      </c>
      <c r="AD36" s="14" t="str">
        <f aca="false">IF(COUNTIFS(Assumptions!$C$41:$C$364,$D$4,Assumptions!$E$41:$E$364,$C36,Assumptions!$AR$41:$AR$364,"*shutoff_active*")&gt;0,"SHUTOFF","AVAILABLE")</f>
        <v>AVAILABLE</v>
      </c>
    </row>
    <row r="37" customFormat="false" ht="15" hidden="false" customHeight="false" outlineLevel="0" collapsed="false">
      <c r="C37" s="14" t="s">
        <v>337</v>
      </c>
      <c r="D37" s="29" t="n">
        <v>46965</v>
      </c>
      <c r="E37" s="14" t="s">
        <v>335</v>
      </c>
      <c r="F37" s="14" t="s">
        <v>328</v>
      </c>
      <c r="G37" s="14" t="s">
        <v>271</v>
      </c>
      <c r="H37" s="14" t="n">
        <v>92</v>
      </c>
      <c r="I37" s="16" t="n">
        <f aca="false">SUMIFS(Assumptions!$T$41:$T$364,Assumptions!$C$41:$C$364,$D$4,Assumptions!$E$41:$E$364,$C37)+(Assumptions!$D$25+IF($C37="P001",-SUMIFS(Assumptions!$L$41:$L$364,Assumptions!$C$41:$C$364,$D$4,Assumptions!$E$41:$E$364,$C37)/365*Assumptions!$D$23,0))</f>
        <v>37.1289437177338</v>
      </c>
      <c r="J37" s="16" t="n">
        <f aca="false">N36</f>
        <v>523.589523115062</v>
      </c>
      <c r="K37" s="16" t="n">
        <f aca="false">SUMIFS(Assumptions!$Y$41:$Y$364,Assumptions!$C$41:$C$364,$D$4,Assumptions!$E$41:$E$364,$C37)*(Assumptions!$D$12/635)*(Assumptions!$D$18/7.5%)</f>
        <v>11.90625</v>
      </c>
      <c r="L37" s="16" t="n">
        <f aca="false">SUMIFS(Assumptions!$Z$41:$Z$364,Assumptions!$C$41:$C$364,$D$4,Assumptions!$E$41:$E$364,$C37)*(Assumptions!$D$26/50%)*IF(SUMIFS(Assumptions!$AO$41:$AO$364,Assumptions!$C$41:$C$364,$D$4,Assumptions!$E$41:$E$364,$C37)&gt;Assumptions!$D$24,1,0)</f>
        <v>0</v>
      </c>
      <c r="M37" s="16" t="n">
        <f aca="false">SUMIFS(Assumptions!$AB$41:$AB$364,Assumptions!$C$41:$C$364,$D$4,Assumptions!$E$41:$E$364,$C37)</f>
        <v>0</v>
      </c>
      <c r="N37" s="16" t="n">
        <f aca="false">MAX(0,J37-K37-L37-M37)</f>
        <v>511.683273115062</v>
      </c>
      <c r="O37" s="16" t="n">
        <f aca="false">R36</f>
        <v>0</v>
      </c>
      <c r="P37" s="16" t="n">
        <f aca="false">SUMIFS(Assumptions!$AE$41:$AE$364,Assumptions!$C$41:$C$364,$D$4,Assumptions!$E$41:$E$364,$C37)+IF((Assumptions!$D$25+IF($C37="P001",-SUMIFS(Assumptions!$L$41:$L$364,Assumptions!$C$41:$C$364,$D$4,Assumptions!$E$41:$E$364,$C37)/365*Assumptions!$D$23,0))&lt;0,MIN(MAX(0,Assumptions!$D$14-Assumptions!$D$16-O37),-(Assumptions!$D$25+IF($C37="P001",-SUMIFS(Assumptions!$L$41:$L$364,Assumptions!$C$41:$C$364,$D$4,Assumptions!$E$41:$E$364,$C37)/365*Assumptions!$D$23,0))),0)</f>
        <v>0</v>
      </c>
      <c r="Q37" s="16" t="n">
        <f aca="false">SUMIFS(Assumptions!$AF$41:$AF$364,Assumptions!$C$41:$C$364,$D$4,Assumptions!$E$41:$E$364,$C37)+IF((Assumptions!$D$25+IF($C37="P001",-SUMIFS(Assumptions!$L$41:$L$364,Assumptions!$C$41:$C$364,$D$4,Assumptions!$E$41:$E$364,$C37)/365*Assumptions!$D$23,0))&gt;0,MIN(O37,(Assumptions!$D$25+IF($C37="P001",-SUMIFS(Assumptions!$L$41:$L$364,Assumptions!$C$41:$C$364,$D$4,Assumptions!$E$41:$E$364,$C37)/365*Assumptions!$D$23,0))),0)</f>
        <v>0</v>
      </c>
      <c r="R37" s="16" t="n">
        <f aca="false">MAX(0,O37+P37-Q37)</f>
        <v>0</v>
      </c>
      <c r="S37" s="16" t="n">
        <f aca="false">(J37+N37+O37+R37)/2</f>
        <v>517.636398115062</v>
      </c>
      <c r="T37" s="16" t="n">
        <f aca="false">IF(Assumptions!$D$19="","",IF(((SUMIFS(Assumptions!$W$41:$W$364,Assumptions!$C$41:$C$364,$D$4,Assumptions!$E$41:$E$364,$C37)+SUMIFS(Assumptions!$AC$41:$AC$364,Assumptions!$C$41:$C$364,$D$4,Assumptions!$E$41:$E$364,$C37)+SUMIFS(Assumptions!$AD$41:$AD$364,Assumptions!$C$41:$C$364,$D$4,Assumptions!$E$41:$E$364,$C37)+SUMIFS(Assumptions!$AG$41:$AG$364,Assumptions!$C$41:$C$364,$D$4,Assumptions!$E$41:$E$364,$C37))/2)=0,0,SUMIFS(Assumptions!$AI$41:$AI$364,Assumptions!$C$41:$C$364,$D$4,Assumptions!$E$41:$E$364,$C37)*S37/((SUMIFS(Assumptions!$W$41:$W$364,Assumptions!$C$41:$C$364,$D$4,Assumptions!$E$41:$E$364,$C37)+SUMIFS(Assumptions!$AC$41:$AC$364,Assumptions!$C$41:$C$364,$D$4,Assumptions!$E$41:$E$364,$C37)+SUMIFS(Assumptions!$AD$41:$AD$364,Assumptions!$C$41:$C$364,$D$4,Assumptions!$E$41:$E$364,$C37)+SUMIFS(Assumptions!$AG$41:$AG$364,Assumptions!$C$41:$C$364,$D$4,Assumptions!$E$41:$E$364,$C37))/2)*(Assumptions!$D$19/6.57%))+Assumptions!$D$20*S37*H37/365)</f>
        <v>8.56736455778989</v>
      </c>
      <c r="U37" s="16" t="n">
        <f aca="false">SUMIFS(Assumptions!$AJ$41:$AJ$364,Assumptions!$C$41:$C$364,$D$4,Assumptions!$E$41:$E$364,$C37)</f>
        <v>1.7075</v>
      </c>
      <c r="V37" s="16" t="n">
        <f aca="false">SUMIFS(Assumptions!$AK$41:$AK$364,Assumptions!$C$41:$C$364,$D$4,Assumptions!$E$41:$E$364,$C37)+SUMIFS(Assumptions!$AL$41:$AL$364,Assumptions!$C$41:$C$364,$D$4,Assumptions!$E$41:$E$364,$C37)</f>
        <v>4.875</v>
      </c>
      <c r="W37" s="16" t="n">
        <f aca="false">W36+(SUMIFS(Assumptions!$V$41:$V$364,Assumptions!$C$41:$C$364,$D$4,Assumptions!$E$41:$E$364,$C37)-SUMIFS(Assumptions!$U$41:$U$364,Assumptions!$C$41:$C$364,$D$4,Assumptions!$E$41:$E$364,$C37))+(Assumptions!$D$25+IF($C37="P001",-SUMIFS(Assumptions!$L$41:$L$364,Assumptions!$C$41:$C$364,$D$4,Assumptions!$E$41:$E$364,$C37)/365*Assumptions!$D$23,0))+(IF((Assumptions!$D$25+IF($C37="P001",-SUMIFS(Assumptions!$L$41:$L$364,Assumptions!$C$41:$C$364,$D$4,Assumptions!$E$41:$E$364,$C37)/365*Assumptions!$D$23,0))&lt;0,MIN(MAX(0,Assumptions!$D$14-Assumptions!$D$16-O37),-(Assumptions!$D$25+IF($C37="P001",-SUMIFS(Assumptions!$L$41:$L$364,Assumptions!$C$41:$C$364,$D$4,Assumptions!$E$41:$E$364,$C37)/365*Assumptions!$D$23,0))),0))-(IF((Assumptions!$D$25+IF($C37="P001",-SUMIFS(Assumptions!$L$41:$L$364,Assumptions!$C$41:$C$364,$D$4,Assumptions!$E$41:$E$364,$C37)/365*Assumptions!$D$23,0))&gt;0,MIN(O37,(Assumptions!$D$25+IF($C37="P001",-SUMIFS(Assumptions!$L$41:$L$364,Assumptions!$C$41:$C$364,$D$4,Assumptions!$E$41:$E$364,$C37)/365*Assumptions!$D$23,0))),0))</f>
        <v>38.1563022748204</v>
      </c>
      <c r="X37" s="16" t="n">
        <f aca="false">N37+R37</f>
        <v>511.683273115062</v>
      </c>
      <c r="Y37" s="16" t="n">
        <f aca="false">Assumptions!$D$17</f>
        <v>62.619</v>
      </c>
      <c r="Z37" s="16" t="n">
        <f aca="false">X37+Y37</f>
        <v>574.302273115062</v>
      </c>
      <c r="AA37" s="16" t="n">
        <f aca="false">MAX(0,Assumptions!$D$14-Assumptions!$D$16-R37)</f>
        <v>293.8</v>
      </c>
      <c r="AB37" s="16" t="n">
        <f aca="false">MAX(0,W37-Assumptions!$D$24)+AA37</f>
        <v>306.95630227482</v>
      </c>
      <c r="AC37" s="16" t="n">
        <f aca="false">SUMIFS(Assumptions!$AM$41:$AM$364,Assumptions!$C$41:$C$364,$D$4,Assumptions!$E$41:$E$364,$C37)+MAX(0,-W37)</f>
        <v>0</v>
      </c>
      <c r="AD37" s="14" t="str">
        <f aca="false">IF(COUNTIFS(Assumptions!$C$41:$C$364,$D$4,Assumptions!$E$41:$E$364,$C37,Assumptions!$AR$41:$AR$364,"*shutoff_active*")&gt;0,"SHUTOFF","AVAILABLE")</f>
        <v>AVAILABLE</v>
      </c>
    </row>
    <row r="38" customFormat="false" ht="15" hidden="false" customHeight="false" outlineLevel="0" collapsed="false">
      <c r="C38" s="14" t="s">
        <v>339</v>
      </c>
      <c r="D38" s="29" t="n">
        <v>47057</v>
      </c>
      <c r="E38" s="14" t="s">
        <v>335</v>
      </c>
      <c r="F38" s="14" t="s">
        <v>328</v>
      </c>
      <c r="G38" s="14" t="s">
        <v>288</v>
      </c>
      <c r="H38" s="14" t="n">
        <v>92</v>
      </c>
      <c r="I38" s="16" t="n">
        <f aca="false">SUMIFS(Assumptions!$T$41:$T$364,Assumptions!$C$41:$C$364,$D$4,Assumptions!$E$41:$E$364,$C38)+(Assumptions!$D$25+IF($C38="P001",-SUMIFS(Assumptions!$L$41:$L$364,Assumptions!$C$41:$C$364,$D$4,Assumptions!$E$41:$E$364,$C38)/365*Assumptions!$D$23,0))</f>
        <v>37.5513827844828</v>
      </c>
      <c r="J38" s="16" t="n">
        <f aca="false">N37</f>
        <v>511.683273115062</v>
      </c>
      <c r="K38" s="16" t="n">
        <f aca="false">SUMIFS(Assumptions!$Y$41:$Y$364,Assumptions!$C$41:$C$364,$D$4,Assumptions!$E$41:$E$364,$C38)*(Assumptions!$D$12/635)*(Assumptions!$D$18/7.5%)</f>
        <v>11.90625</v>
      </c>
      <c r="L38" s="16" t="n">
        <f aca="false">SUMIFS(Assumptions!$Z$41:$Z$364,Assumptions!$C$41:$C$364,$D$4,Assumptions!$E$41:$E$364,$C38)*(Assumptions!$D$26/50%)*IF(SUMIFS(Assumptions!$AO$41:$AO$364,Assumptions!$C$41:$C$364,$D$4,Assumptions!$E$41:$E$364,$C38)&gt;Assumptions!$D$24,1,0)</f>
        <v>11.9235653288816</v>
      </c>
      <c r="M38" s="16" t="n">
        <f aca="false">SUMIFS(Assumptions!$AB$41:$AB$364,Assumptions!$C$41:$C$364,$D$4,Assumptions!$E$41:$E$364,$C38)</f>
        <v>0</v>
      </c>
      <c r="N38" s="16" t="n">
        <f aca="false">MAX(0,J38-K38-L38-M38)</f>
        <v>487.85345778618</v>
      </c>
      <c r="O38" s="16" t="n">
        <f aca="false">R37</f>
        <v>0</v>
      </c>
      <c r="P38" s="16" t="n">
        <f aca="false">SUMIFS(Assumptions!$AE$41:$AE$364,Assumptions!$C$41:$C$364,$D$4,Assumptions!$E$41:$E$364,$C38)+IF((Assumptions!$D$25+IF($C38="P001",-SUMIFS(Assumptions!$L$41:$L$364,Assumptions!$C$41:$C$364,$D$4,Assumptions!$E$41:$E$364,$C38)/365*Assumptions!$D$23,0))&lt;0,MIN(MAX(0,Assumptions!$D$14-Assumptions!$D$16-O38),-(Assumptions!$D$25+IF($C38="P001",-SUMIFS(Assumptions!$L$41:$L$364,Assumptions!$C$41:$C$364,$D$4,Assumptions!$E$41:$E$364,$C38)/365*Assumptions!$D$23,0))),0)</f>
        <v>0</v>
      </c>
      <c r="Q38" s="16" t="n">
        <f aca="false">SUMIFS(Assumptions!$AF$41:$AF$364,Assumptions!$C$41:$C$364,$D$4,Assumptions!$E$41:$E$364,$C38)+IF((Assumptions!$D$25+IF($C38="P001",-SUMIFS(Assumptions!$L$41:$L$364,Assumptions!$C$41:$C$364,$D$4,Assumptions!$E$41:$E$364,$C38)/365*Assumptions!$D$23,0))&gt;0,MIN(O38,(Assumptions!$D$25+IF($C38="P001",-SUMIFS(Assumptions!$L$41:$L$364,Assumptions!$C$41:$C$364,$D$4,Assumptions!$E$41:$E$364,$C38)/365*Assumptions!$D$23,0))),0)</f>
        <v>0</v>
      </c>
      <c r="R38" s="16" t="n">
        <f aca="false">MAX(0,O38+P38-Q38)</f>
        <v>0</v>
      </c>
      <c r="S38" s="16" t="n">
        <f aca="false">(J38+N38+O38+R38)/2</f>
        <v>499.768365450621</v>
      </c>
      <c r="T38" s="16" t="n">
        <f aca="false">IF(Assumptions!$D$19="","",IF(((SUMIFS(Assumptions!$W$41:$W$364,Assumptions!$C$41:$C$364,$D$4,Assumptions!$E$41:$E$364,$C38)+SUMIFS(Assumptions!$AC$41:$AC$364,Assumptions!$C$41:$C$364,$D$4,Assumptions!$E$41:$E$364,$C38)+SUMIFS(Assumptions!$AD$41:$AD$364,Assumptions!$C$41:$C$364,$D$4,Assumptions!$E$41:$E$364,$C38)+SUMIFS(Assumptions!$AG$41:$AG$364,Assumptions!$C$41:$C$364,$D$4,Assumptions!$E$41:$E$364,$C38))/2)=0,0,SUMIFS(Assumptions!$AI$41:$AI$364,Assumptions!$C$41:$C$364,$D$4,Assumptions!$E$41:$E$364,$C38)*S38/((SUMIFS(Assumptions!$W$41:$W$364,Assumptions!$C$41:$C$364,$D$4,Assumptions!$E$41:$E$364,$C38)+SUMIFS(Assumptions!$AC$41:$AC$364,Assumptions!$C$41:$C$364,$D$4,Assumptions!$E$41:$E$364,$C38)+SUMIFS(Assumptions!$AD$41:$AD$364,Assumptions!$C$41:$C$364,$D$4,Assumptions!$E$41:$E$364,$C38)+SUMIFS(Assumptions!$AG$41:$AG$364,Assumptions!$C$41:$C$364,$D$4,Assumptions!$E$41:$E$364,$C38))/2)*(Assumptions!$D$19/6.57%))+Assumptions!$D$20*S38*H38/365)</f>
        <v>8.37180440153989</v>
      </c>
      <c r="U38" s="16" t="n">
        <f aca="false">SUMIFS(Assumptions!$AJ$41:$AJ$364,Assumptions!$C$41:$C$364,$D$4,Assumptions!$E$41:$E$364,$C38)</f>
        <v>1.7075</v>
      </c>
      <c r="V38" s="16" t="n">
        <f aca="false">SUMIFS(Assumptions!$AK$41:$AK$364,Assumptions!$C$41:$C$364,$D$4,Assumptions!$E$41:$E$364,$C38)+SUMIFS(Assumptions!$AL$41:$AL$364,Assumptions!$C$41:$C$364,$D$4,Assumptions!$E$41:$E$364,$C38)</f>
        <v>4.875</v>
      </c>
      <c r="W38" s="16" t="n">
        <f aca="false">W37+(SUMIFS(Assumptions!$V$41:$V$364,Assumptions!$C$41:$C$364,$D$4,Assumptions!$E$41:$E$364,$C38)-SUMIFS(Assumptions!$U$41:$U$364,Assumptions!$C$41:$C$364,$D$4,Assumptions!$E$41:$E$364,$C38))+(Assumptions!$D$25+IF($C38="P001",-SUMIFS(Assumptions!$L$41:$L$364,Assumptions!$C$41:$C$364,$D$4,Assumptions!$E$41:$E$364,$C38)/365*Assumptions!$D$23,0))+(IF((Assumptions!$D$25+IF($C38="P001",-SUMIFS(Assumptions!$L$41:$L$364,Assumptions!$C$41:$C$364,$D$4,Assumptions!$E$41:$E$364,$C38)/365*Assumptions!$D$23,0))&lt;0,MIN(MAX(0,Assumptions!$D$14-Assumptions!$D$16-O38),-(Assumptions!$D$25+IF($C38="P001",-SUMIFS(Assumptions!$L$41:$L$364,Assumptions!$C$41:$C$364,$D$4,Assumptions!$E$41:$E$364,$C38)/365*Assumptions!$D$23,0))),0))-(IF((Assumptions!$D$25+IF($C38="P001",-SUMIFS(Assumptions!$L$41:$L$364,Assumptions!$C$41:$C$364,$D$4,Assumptions!$E$41:$E$364,$C38)/365*Assumptions!$D$23,0))&gt;0,MIN(O38,(Assumptions!$D$25+IF($C38="P001",-SUMIFS(Assumptions!$L$41:$L$364,Assumptions!$C$41:$C$364,$D$4,Assumptions!$E$41:$E$364,$C38)/365*Assumptions!$D$23,0))),0))</f>
        <v>36.9235653288816</v>
      </c>
      <c r="X38" s="16" t="n">
        <f aca="false">N38+R38</f>
        <v>487.85345778618</v>
      </c>
      <c r="Y38" s="16" t="n">
        <f aca="false">Assumptions!$D$17</f>
        <v>62.619</v>
      </c>
      <c r="Z38" s="16" t="n">
        <f aca="false">X38+Y38</f>
        <v>550.47245778618</v>
      </c>
      <c r="AA38" s="16" t="n">
        <f aca="false">MAX(0,Assumptions!$D$14-Assumptions!$D$16-R38)</f>
        <v>293.8</v>
      </c>
      <c r="AB38" s="16" t="n">
        <f aca="false">MAX(0,W38-Assumptions!$D$24)+AA38</f>
        <v>305.723565328882</v>
      </c>
      <c r="AC38" s="16" t="n">
        <f aca="false">SUMIFS(Assumptions!$AM$41:$AM$364,Assumptions!$C$41:$C$364,$D$4,Assumptions!$E$41:$E$364,$C38)+MAX(0,-W38)</f>
        <v>0</v>
      </c>
      <c r="AD38" s="14" t="str">
        <f aca="false">IF(COUNTIFS(Assumptions!$C$41:$C$364,$D$4,Assumptions!$E$41:$E$364,$C38,Assumptions!$AR$41:$AR$364,"*shutoff_active*")&gt;0,"SHUTOFF","AVAILABLE")</f>
        <v>AVAILABLE</v>
      </c>
    </row>
    <row r="39" customFormat="false" ht="15" hidden="false" customHeight="false" outlineLevel="0" collapsed="false">
      <c r="C39" s="14" t="s">
        <v>341</v>
      </c>
      <c r="D39" s="29" t="n">
        <v>47149</v>
      </c>
      <c r="E39" s="14" t="s">
        <v>335</v>
      </c>
      <c r="F39" s="14" t="s">
        <v>342</v>
      </c>
      <c r="G39" s="14" t="s">
        <v>303</v>
      </c>
      <c r="H39" s="14" t="n">
        <v>92</v>
      </c>
      <c r="I39" s="16" t="n">
        <f aca="false">SUMIFS(Assumptions!$T$41:$T$364,Assumptions!$C$41:$C$364,$D$4,Assumptions!$E$41:$E$364,$C39)+(Assumptions!$D$25+IF($C39="P001",-SUMIFS(Assumptions!$L$41:$L$364,Assumptions!$C$41:$C$364,$D$4,Assumptions!$E$41:$E$364,$C39)/365*Assumptions!$D$23,0))</f>
        <v>15.647607957168</v>
      </c>
      <c r="J39" s="16" t="n">
        <f aca="false">N38</f>
        <v>487.85345778618</v>
      </c>
      <c r="K39" s="16" t="n">
        <f aca="false">SUMIFS(Assumptions!$Y$41:$Y$364,Assumptions!$C$41:$C$364,$D$4,Assumptions!$E$41:$E$364,$C39)*(Assumptions!$D$12/635)*(Assumptions!$D$18/7.5%)</f>
        <v>11.90625</v>
      </c>
      <c r="L39" s="16" t="n">
        <f aca="false">SUMIFS(Assumptions!$Z$41:$Z$364,Assumptions!$C$41:$C$364,$D$4,Assumptions!$E$41:$E$364,$C39)*(Assumptions!$D$26/50%)*IF(SUMIFS(Assumptions!$AO$41:$AO$364,Assumptions!$C$41:$C$364,$D$4,Assumptions!$E$41:$E$364,$C39)&gt;Assumptions!$D$24,1,0)</f>
        <v>0</v>
      </c>
      <c r="M39" s="16" t="n">
        <f aca="false">SUMIFS(Assumptions!$AB$41:$AB$364,Assumptions!$C$41:$C$364,$D$4,Assumptions!$E$41:$E$364,$C39)</f>
        <v>0</v>
      </c>
      <c r="N39" s="16" t="n">
        <f aca="false">MAX(0,J39-K39-L39-M39)</f>
        <v>475.94720778618</v>
      </c>
      <c r="O39" s="16" t="n">
        <f aca="false">R38</f>
        <v>0</v>
      </c>
      <c r="P39" s="16" t="n">
        <f aca="false">SUMIFS(Assumptions!$AE$41:$AE$364,Assumptions!$C$41:$C$364,$D$4,Assumptions!$E$41:$E$364,$C39)+IF((Assumptions!$D$25+IF($C39="P001",-SUMIFS(Assumptions!$L$41:$L$364,Assumptions!$C$41:$C$364,$D$4,Assumptions!$E$41:$E$364,$C39)/365*Assumptions!$D$23,0))&lt;0,MIN(MAX(0,Assumptions!$D$14-Assumptions!$D$16-O39),-(Assumptions!$D$25+IF($C39="P001",-SUMIFS(Assumptions!$L$41:$L$364,Assumptions!$C$41:$C$364,$D$4,Assumptions!$E$41:$E$364,$C39)/365*Assumptions!$D$23,0))),0)</f>
        <v>0</v>
      </c>
      <c r="Q39" s="16" t="n">
        <f aca="false">SUMIFS(Assumptions!$AF$41:$AF$364,Assumptions!$C$41:$C$364,$D$4,Assumptions!$E$41:$E$364,$C39)+IF((Assumptions!$D$25+IF($C39="P001",-SUMIFS(Assumptions!$L$41:$L$364,Assumptions!$C$41:$C$364,$D$4,Assumptions!$E$41:$E$364,$C39)/365*Assumptions!$D$23,0))&gt;0,MIN(O39,(Assumptions!$D$25+IF($C39="P001",-SUMIFS(Assumptions!$L$41:$L$364,Assumptions!$C$41:$C$364,$D$4,Assumptions!$E$41:$E$364,$C39)/365*Assumptions!$D$23,0))),0)</f>
        <v>0</v>
      </c>
      <c r="R39" s="16" t="n">
        <f aca="false">MAX(0,O39+P39-Q39)</f>
        <v>0</v>
      </c>
      <c r="S39" s="16" t="n">
        <f aca="false">(J39+N39+O39+R39)/2</f>
        <v>481.90033278618</v>
      </c>
      <c r="T39" s="16" t="n">
        <f aca="false">IF(Assumptions!$D$19="","",IF(((SUMIFS(Assumptions!$W$41:$W$364,Assumptions!$C$41:$C$364,$D$4,Assumptions!$E$41:$E$364,$C39)+SUMIFS(Assumptions!$AC$41:$AC$364,Assumptions!$C$41:$C$364,$D$4,Assumptions!$E$41:$E$364,$C39)+SUMIFS(Assumptions!$AD$41:$AD$364,Assumptions!$C$41:$C$364,$D$4,Assumptions!$E$41:$E$364,$C39)+SUMIFS(Assumptions!$AG$41:$AG$364,Assumptions!$C$41:$C$364,$D$4,Assumptions!$E$41:$E$364,$C39))/2)=0,0,SUMIFS(Assumptions!$AI$41:$AI$364,Assumptions!$C$41:$C$364,$D$4,Assumptions!$E$41:$E$364,$C39)*S39/((SUMIFS(Assumptions!$W$41:$W$364,Assumptions!$C$41:$C$364,$D$4,Assumptions!$E$41:$E$364,$C39)+SUMIFS(Assumptions!$AC$41:$AC$364,Assumptions!$C$41:$C$364,$D$4,Assumptions!$E$41:$E$364,$C39)+SUMIFS(Assumptions!$AD$41:$AD$364,Assumptions!$C$41:$C$364,$D$4,Assumptions!$E$41:$E$364,$C39)+SUMIFS(Assumptions!$AG$41:$AG$364,Assumptions!$C$41:$C$364,$D$4,Assumptions!$E$41:$E$364,$C39))/2)*(Assumptions!$D$19/6.57%))+Assumptions!$D$20*S39*H39/365)</f>
        <v>7.98039968476301</v>
      </c>
      <c r="U39" s="16" t="n">
        <f aca="false">SUMIFS(Assumptions!$AJ$41:$AJ$364,Assumptions!$C$41:$C$364,$D$4,Assumptions!$E$41:$E$364,$C39)</f>
        <v>1.6245</v>
      </c>
      <c r="V39" s="16" t="n">
        <f aca="false">SUMIFS(Assumptions!$AK$41:$AK$364,Assumptions!$C$41:$C$364,$D$4,Assumptions!$E$41:$E$364,$C39)+SUMIFS(Assumptions!$AL$41:$AL$364,Assumptions!$C$41:$C$364,$D$4,Assumptions!$E$41:$E$364,$C39)</f>
        <v>4.875</v>
      </c>
      <c r="W39" s="16" t="n">
        <f aca="false">W38+(SUMIFS(Assumptions!$V$41:$V$364,Assumptions!$C$41:$C$364,$D$4,Assumptions!$E$41:$E$364,$C39)-SUMIFS(Assumptions!$U$41:$U$364,Assumptions!$C$41:$C$364,$D$4,Assumptions!$E$41:$E$364,$C39))+(Assumptions!$D$25+IF($C39="P001",-SUMIFS(Assumptions!$L$41:$L$364,Assumptions!$C$41:$C$364,$D$4,Assumptions!$E$41:$E$364,$C39)/365*Assumptions!$D$23,0))+(IF((Assumptions!$D$25+IF($C39="P001",-SUMIFS(Assumptions!$L$41:$L$364,Assumptions!$C$41:$C$364,$D$4,Assumptions!$E$41:$E$364,$C39)/365*Assumptions!$D$23,0))&lt;0,MIN(MAX(0,Assumptions!$D$14-Assumptions!$D$16-O39),-(Assumptions!$D$25+IF($C39="P001",-SUMIFS(Assumptions!$L$41:$L$364,Assumptions!$C$41:$C$364,$D$4,Assumptions!$E$41:$E$364,$C39)/365*Assumptions!$D$23,0))),0))-(IF((Assumptions!$D$25+IF($C39="P001",-SUMIFS(Assumptions!$L$41:$L$364,Assumptions!$C$41:$C$364,$D$4,Assumptions!$E$41:$E$364,$C39)/365*Assumptions!$D$23,0))&gt;0,MIN(O39,(Assumptions!$D$25+IF($C39="P001",-SUMIFS(Assumptions!$L$41:$L$364,Assumptions!$C$41:$C$364,$D$4,Assumptions!$E$41:$E$364,$C39)/365*Assumptions!$D$23,0))),0))</f>
        <v>26.1850236012866</v>
      </c>
      <c r="X39" s="16" t="n">
        <f aca="false">N39+R39</f>
        <v>475.94720778618</v>
      </c>
      <c r="Y39" s="16" t="n">
        <f aca="false">Assumptions!$D$17</f>
        <v>62.619</v>
      </c>
      <c r="Z39" s="16" t="n">
        <f aca="false">X39+Y39</f>
        <v>538.56620778618</v>
      </c>
      <c r="AA39" s="16" t="n">
        <f aca="false">MAX(0,Assumptions!$D$14-Assumptions!$D$16-R39)</f>
        <v>293.8</v>
      </c>
      <c r="AB39" s="16" t="n">
        <f aca="false">MAX(0,W39-Assumptions!$D$24)+AA39</f>
        <v>294.985023601287</v>
      </c>
      <c r="AC39" s="16" t="n">
        <f aca="false">SUMIFS(Assumptions!$AM$41:$AM$364,Assumptions!$C$41:$C$364,$D$4,Assumptions!$E$41:$E$364,$C39)+MAX(0,-W39)</f>
        <v>0</v>
      </c>
      <c r="AD39" s="14" t="str">
        <f aca="false">IF(COUNTIFS(Assumptions!$C$41:$C$364,$D$4,Assumptions!$E$41:$E$364,$C39,Assumptions!$AR$41:$AR$364,"*shutoff_active*")&gt;0,"SHUTOFF","AVAILABLE")</f>
        <v>AVAILABLE</v>
      </c>
    </row>
    <row r="40" customFormat="false" ht="15" hidden="false" customHeight="false" outlineLevel="0" collapsed="false">
      <c r="C40" s="14" t="s">
        <v>344</v>
      </c>
      <c r="D40" s="29" t="n">
        <v>47238</v>
      </c>
      <c r="E40" s="14" t="s">
        <v>335</v>
      </c>
      <c r="F40" s="14" t="s">
        <v>342</v>
      </c>
      <c r="G40" s="14" t="s">
        <v>255</v>
      </c>
      <c r="H40" s="14" t="n">
        <v>89</v>
      </c>
      <c r="I40" s="16" t="n">
        <f aca="false">SUMIFS(Assumptions!$T$41:$T$364,Assumptions!$C$41:$C$364,$D$4,Assumptions!$E$41:$E$364,$C40)+(Assumptions!$D$25+IF($C40="P001",-SUMIFS(Assumptions!$L$41:$L$364,Assumptions!$C$41:$C$364,$D$4,Assumptions!$E$41:$E$364,$C40)/365*Assumptions!$D$23,0))</f>
        <v>37.9210249961884</v>
      </c>
      <c r="J40" s="16" t="n">
        <f aca="false">N39</f>
        <v>475.94720778618</v>
      </c>
      <c r="K40" s="16" t="n">
        <f aca="false">SUMIFS(Assumptions!$Y$41:$Y$364,Assumptions!$C$41:$C$364,$D$4,Assumptions!$E$41:$E$364,$C40)*(Assumptions!$D$12/635)*(Assumptions!$D$18/7.5%)</f>
        <v>11.90625</v>
      </c>
      <c r="L40" s="16" t="n">
        <f aca="false">SUMIFS(Assumptions!$Z$41:$Z$364,Assumptions!$C$41:$C$364,$D$4,Assumptions!$E$41:$E$364,$C40)*(Assumptions!$D$26/50%)*IF(SUMIFS(Assumptions!$AO$41:$AO$364,Assumptions!$C$41:$C$364,$D$4,Assumptions!$E$41:$E$364,$C40)&gt;Assumptions!$D$24,1,0)</f>
        <v>0</v>
      </c>
      <c r="M40" s="16" t="n">
        <f aca="false">SUMIFS(Assumptions!$AB$41:$AB$364,Assumptions!$C$41:$C$364,$D$4,Assumptions!$E$41:$E$364,$C40)</f>
        <v>0</v>
      </c>
      <c r="N40" s="16" t="n">
        <f aca="false">MAX(0,J40-K40-L40-M40)</f>
        <v>464.04095778618</v>
      </c>
      <c r="O40" s="16" t="n">
        <f aca="false">R39</f>
        <v>0</v>
      </c>
      <c r="P40" s="16" t="n">
        <f aca="false">SUMIFS(Assumptions!$AE$41:$AE$364,Assumptions!$C$41:$C$364,$D$4,Assumptions!$E$41:$E$364,$C40)+IF((Assumptions!$D$25+IF($C40="P001",-SUMIFS(Assumptions!$L$41:$L$364,Assumptions!$C$41:$C$364,$D$4,Assumptions!$E$41:$E$364,$C40)/365*Assumptions!$D$23,0))&lt;0,MIN(MAX(0,Assumptions!$D$14-Assumptions!$D$16-O40),-(Assumptions!$D$25+IF($C40="P001",-SUMIFS(Assumptions!$L$41:$L$364,Assumptions!$C$41:$C$364,$D$4,Assumptions!$E$41:$E$364,$C40)/365*Assumptions!$D$23,0))),0)</f>
        <v>0</v>
      </c>
      <c r="Q40" s="16" t="n">
        <f aca="false">SUMIFS(Assumptions!$AF$41:$AF$364,Assumptions!$C$41:$C$364,$D$4,Assumptions!$E$41:$E$364,$C40)+IF((Assumptions!$D$25+IF($C40="P001",-SUMIFS(Assumptions!$L$41:$L$364,Assumptions!$C$41:$C$364,$D$4,Assumptions!$E$41:$E$364,$C40)/365*Assumptions!$D$23,0))&gt;0,MIN(O40,(Assumptions!$D$25+IF($C40="P001",-SUMIFS(Assumptions!$L$41:$L$364,Assumptions!$C$41:$C$364,$D$4,Assumptions!$E$41:$E$364,$C40)/365*Assumptions!$D$23,0))),0)</f>
        <v>0</v>
      </c>
      <c r="R40" s="16" t="n">
        <f aca="false">MAX(0,O40+P40-Q40)</f>
        <v>0</v>
      </c>
      <c r="S40" s="16" t="n">
        <f aca="false">(J40+N40+O40+R40)/2</f>
        <v>469.99408278618</v>
      </c>
      <c r="T40" s="16" t="n">
        <f aca="false">IF(Assumptions!$D$19="","",IF(((SUMIFS(Assumptions!$W$41:$W$364,Assumptions!$C$41:$C$364,$D$4,Assumptions!$E$41:$E$364,$C40)+SUMIFS(Assumptions!$AC$41:$AC$364,Assumptions!$C$41:$C$364,$D$4,Assumptions!$E$41:$E$364,$C40)+SUMIFS(Assumptions!$AD$41:$AD$364,Assumptions!$C$41:$C$364,$D$4,Assumptions!$E$41:$E$364,$C40)+SUMIFS(Assumptions!$AG$41:$AG$364,Assumptions!$C$41:$C$364,$D$4,Assumptions!$E$41:$E$364,$C40))/2)=0,0,SUMIFS(Assumptions!$AI$41:$AI$364,Assumptions!$C$41:$C$364,$D$4,Assumptions!$E$41:$E$364,$C40)*S40/((SUMIFS(Assumptions!$W$41:$W$364,Assumptions!$C$41:$C$364,$D$4,Assumptions!$E$41:$E$364,$C40)+SUMIFS(Assumptions!$AC$41:$AC$364,Assumptions!$C$41:$C$364,$D$4,Assumptions!$E$41:$E$364,$C40)+SUMIFS(Assumptions!$AD$41:$AD$364,Assumptions!$C$41:$C$364,$D$4,Assumptions!$E$41:$E$364,$C40)+SUMIFS(Assumptions!$AG$41:$AG$364,Assumptions!$C$41:$C$364,$D$4,Assumptions!$E$41:$E$364,$C40))/2)*(Assumptions!$D$19/6.57%))+Assumptions!$D$20*S40*H40/365)</f>
        <v>7.78483952851302</v>
      </c>
      <c r="U40" s="16" t="n">
        <f aca="false">SUMIFS(Assumptions!$AJ$41:$AJ$364,Assumptions!$C$41:$C$364,$D$4,Assumptions!$E$41:$E$364,$C40)</f>
        <v>1.6245</v>
      </c>
      <c r="V40" s="16" t="n">
        <f aca="false">SUMIFS(Assumptions!$AK$41:$AK$364,Assumptions!$C$41:$C$364,$D$4,Assumptions!$E$41:$E$364,$C40)+SUMIFS(Assumptions!$AL$41:$AL$364,Assumptions!$C$41:$C$364,$D$4,Assumptions!$E$41:$E$364,$C40)</f>
        <v>4.875</v>
      </c>
      <c r="W40" s="16" t="n">
        <f aca="false">W39+(SUMIFS(Assumptions!$V$41:$V$364,Assumptions!$C$41:$C$364,$D$4,Assumptions!$E$41:$E$364,$C40)-SUMIFS(Assumptions!$U$41:$U$364,Assumptions!$C$41:$C$364,$D$4,Assumptions!$E$41:$E$364,$C40))+(Assumptions!$D$25+IF($C40="P001",-SUMIFS(Assumptions!$L$41:$L$364,Assumptions!$C$41:$C$364,$D$4,Assumptions!$E$41:$E$364,$C40)/365*Assumptions!$D$23,0))+(IF((Assumptions!$D$25+IF($C40="P001",-SUMIFS(Assumptions!$L$41:$L$364,Assumptions!$C$41:$C$364,$D$4,Assumptions!$E$41:$E$364,$C40)/365*Assumptions!$D$23,0))&lt;0,MIN(MAX(0,Assumptions!$D$14-Assumptions!$D$16-O40),-(Assumptions!$D$25+IF($C40="P001",-SUMIFS(Assumptions!$L$41:$L$364,Assumptions!$C$41:$C$364,$D$4,Assumptions!$E$41:$E$364,$C40)/365*Assumptions!$D$23,0))),0))-(IF((Assumptions!$D$25+IF($C40="P001",-SUMIFS(Assumptions!$L$41:$L$364,Assumptions!$C$41:$C$364,$D$4,Assumptions!$E$41:$E$364,$C40)/365*Assumptions!$D$23,0))&gt;0,MIN(O40,(Assumptions!$D$25+IF($C40="P001",-SUMIFS(Assumptions!$L$41:$L$364,Assumptions!$C$41:$C$364,$D$4,Assumptions!$E$41:$E$364,$C40)/365*Assumptions!$D$23,0))),0))</f>
        <v>37.915459068962</v>
      </c>
      <c r="X40" s="16" t="n">
        <f aca="false">N40+R40</f>
        <v>464.04095778618</v>
      </c>
      <c r="Y40" s="16" t="n">
        <f aca="false">Assumptions!$D$17</f>
        <v>62.619</v>
      </c>
      <c r="Z40" s="16" t="n">
        <f aca="false">X40+Y40</f>
        <v>526.65995778618</v>
      </c>
      <c r="AA40" s="16" t="n">
        <f aca="false">MAX(0,Assumptions!$D$14-Assumptions!$D$16-R40)</f>
        <v>293.8</v>
      </c>
      <c r="AB40" s="16" t="n">
        <f aca="false">MAX(0,W40-Assumptions!$D$24)+AA40</f>
        <v>306.715459068962</v>
      </c>
      <c r="AC40" s="16" t="n">
        <f aca="false">SUMIFS(Assumptions!$AM$41:$AM$364,Assumptions!$C$41:$C$364,$D$4,Assumptions!$E$41:$E$364,$C40)+MAX(0,-W40)</f>
        <v>0</v>
      </c>
      <c r="AD40" s="14" t="str">
        <f aca="false">IF(COUNTIFS(Assumptions!$C$41:$C$364,$D$4,Assumptions!$E$41:$E$364,$C40,Assumptions!$AR$41:$AR$364,"*shutoff_active*")&gt;0,"SHUTOFF","AVAILABLE")</f>
        <v>AVAILABLE</v>
      </c>
    </row>
    <row r="41" customFormat="false" ht="15" hidden="false" customHeight="false" outlineLevel="0" collapsed="false">
      <c r="C41" s="14" t="s">
        <v>346</v>
      </c>
      <c r="D41" s="29" t="n">
        <v>47330</v>
      </c>
      <c r="E41" s="14" t="s">
        <v>335</v>
      </c>
      <c r="F41" s="14" t="s">
        <v>342</v>
      </c>
      <c r="G41" s="14" t="s">
        <v>271</v>
      </c>
      <c r="H41" s="14" t="n">
        <v>92</v>
      </c>
      <c r="I41" s="16" t="n">
        <f aca="false">SUMIFS(Assumptions!$T$41:$T$364,Assumptions!$C$41:$C$364,$D$4,Assumptions!$E$41:$E$364,$C41)+(Assumptions!$D$25+IF($C41="P001",-SUMIFS(Assumptions!$L$41:$L$364,Assumptions!$C$41:$C$364,$D$4,Assumptions!$E$41:$E$364,$C41)/365*Assumptions!$D$23,0))</f>
        <v>37.1280154941409</v>
      </c>
      <c r="J41" s="16" t="n">
        <f aca="false">N40</f>
        <v>464.04095778618</v>
      </c>
      <c r="K41" s="16" t="n">
        <f aca="false">SUMIFS(Assumptions!$Y$41:$Y$364,Assumptions!$C$41:$C$364,$D$4,Assumptions!$E$41:$E$364,$C41)*(Assumptions!$D$12/635)*(Assumptions!$D$18/7.5%)</f>
        <v>11.90625</v>
      </c>
      <c r="L41" s="16" t="n">
        <f aca="false">SUMIFS(Assumptions!$Z$41:$Z$364,Assumptions!$C$41:$C$364,$D$4,Assumptions!$E$41:$E$364,$C41)*(Assumptions!$D$26/50%)*IF(SUMIFS(Assumptions!$AO$41:$AO$364,Assumptions!$C$41:$C$364,$D$4,Assumptions!$E$41:$E$364,$C41)&gt;Assumptions!$D$24,1,0)</f>
        <v>0</v>
      </c>
      <c r="M41" s="16" t="n">
        <f aca="false">SUMIFS(Assumptions!$AB$41:$AB$364,Assumptions!$C$41:$C$364,$D$4,Assumptions!$E$41:$E$364,$C41)</f>
        <v>0</v>
      </c>
      <c r="N41" s="16" t="n">
        <f aca="false">MAX(0,J41-K41-L41-M41)</f>
        <v>452.13470778618</v>
      </c>
      <c r="O41" s="16" t="n">
        <f aca="false">R40</f>
        <v>0</v>
      </c>
      <c r="P41" s="16" t="n">
        <f aca="false">SUMIFS(Assumptions!$AE$41:$AE$364,Assumptions!$C$41:$C$364,$D$4,Assumptions!$E$41:$E$364,$C41)+IF((Assumptions!$D$25+IF($C41="P001",-SUMIFS(Assumptions!$L$41:$L$364,Assumptions!$C$41:$C$364,$D$4,Assumptions!$E$41:$E$364,$C41)/365*Assumptions!$D$23,0))&lt;0,MIN(MAX(0,Assumptions!$D$14-Assumptions!$D$16-O41),-(Assumptions!$D$25+IF($C41="P001",-SUMIFS(Assumptions!$L$41:$L$364,Assumptions!$C$41:$C$364,$D$4,Assumptions!$E$41:$E$364,$C41)/365*Assumptions!$D$23,0))),0)</f>
        <v>0</v>
      </c>
      <c r="Q41" s="16" t="n">
        <f aca="false">SUMIFS(Assumptions!$AF$41:$AF$364,Assumptions!$C$41:$C$364,$D$4,Assumptions!$E$41:$E$364,$C41)+IF((Assumptions!$D$25+IF($C41="P001",-SUMIFS(Assumptions!$L$41:$L$364,Assumptions!$C$41:$C$364,$D$4,Assumptions!$E$41:$E$364,$C41)/365*Assumptions!$D$23,0))&gt;0,MIN(O41,(Assumptions!$D$25+IF($C41="P001",-SUMIFS(Assumptions!$L$41:$L$364,Assumptions!$C$41:$C$364,$D$4,Assumptions!$E$41:$E$364,$C41)/365*Assumptions!$D$23,0))),0)</f>
        <v>0</v>
      </c>
      <c r="R41" s="16" t="n">
        <f aca="false">MAX(0,O41+P41-Q41)</f>
        <v>0</v>
      </c>
      <c r="S41" s="16" t="n">
        <f aca="false">(J41+N41+O41+R41)/2</f>
        <v>458.08783278618</v>
      </c>
      <c r="T41" s="16" t="n">
        <f aca="false">IF(Assumptions!$D$19="","",IF(((SUMIFS(Assumptions!$W$41:$W$364,Assumptions!$C$41:$C$364,$D$4,Assumptions!$E$41:$E$364,$C41)+SUMIFS(Assumptions!$AC$41:$AC$364,Assumptions!$C$41:$C$364,$D$4,Assumptions!$E$41:$E$364,$C41)+SUMIFS(Assumptions!$AD$41:$AD$364,Assumptions!$C$41:$C$364,$D$4,Assumptions!$E$41:$E$364,$C41)+SUMIFS(Assumptions!$AG$41:$AG$364,Assumptions!$C$41:$C$364,$D$4,Assumptions!$E$41:$E$364,$C41))/2)=0,0,SUMIFS(Assumptions!$AI$41:$AI$364,Assumptions!$C$41:$C$364,$D$4,Assumptions!$E$41:$E$364,$C41)*S41/((SUMIFS(Assumptions!$W$41:$W$364,Assumptions!$C$41:$C$364,$D$4,Assumptions!$E$41:$E$364,$C41)+SUMIFS(Assumptions!$AC$41:$AC$364,Assumptions!$C$41:$C$364,$D$4,Assumptions!$E$41:$E$364,$C41)+SUMIFS(Assumptions!$AD$41:$AD$364,Assumptions!$C$41:$C$364,$D$4,Assumptions!$E$41:$E$364,$C41)+SUMIFS(Assumptions!$AG$41:$AG$364,Assumptions!$C$41:$C$364,$D$4,Assumptions!$E$41:$E$364,$C41))/2)*(Assumptions!$D$19/6.57%))+Assumptions!$D$20*S41*H41/365)</f>
        <v>7.58927937226301</v>
      </c>
      <c r="U41" s="16" t="n">
        <f aca="false">SUMIFS(Assumptions!$AJ$41:$AJ$364,Assumptions!$C$41:$C$364,$D$4,Assumptions!$E$41:$E$364,$C41)</f>
        <v>1.6245</v>
      </c>
      <c r="V41" s="16" t="n">
        <f aca="false">SUMIFS(Assumptions!$AK$41:$AK$364,Assumptions!$C$41:$C$364,$D$4,Assumptions!$E$41:$E$364,$C41)+SUMIFS(Assumptions!$AL$41:$AL$364,Assumptions!$C$41:$C$364,$D$4,Assumptions!$E$41:$E$364,$C41)</f>
        <v>4.875</v>
      </c>
      <c r="W41" s="16" t="n">
        <f aca="false">W40+(SUMIFS(Assumptions!$V$41:$V$364,Assumptions!$C$41:$C$364,$D$4,Assumptions!$E$41:$E$364,$C41)-SUMIFS(Assumptions!$U$41:$U$364,Assumptions!$C$41:$C$364,$D$4,Assumptions!$E$41:$E$364,$C41))+(Assumptions!$D$25+IF($C41="P001",-SUMIFS(Assumptions!$L$41:$L$364,Assumptions!$C$41:$C$364,$D$4,Assumptions!$E$41:$E$364,$C41)/365*Assumptions!$D$23,0))+(IF((Assumptions!$D$25+IF($C41="P001",-SUMIFS(Assumptions!$L$41:$L$364,Assumptions!$C$41:$C$364,$D$4,Assumptions!$E$41:$E$364,$C41)/365*Assumptions!$D$23,0))&lt;0,MIN(MAX(0,Assumptions!$D$14-Assumptions!$D$16-O41),-(Assumptions!$D$25+IF($C41="P001",-SUMIFS(Assumptions!$L$41:$L$364,Assumptions!$C$41:$C$364,$D$4,Assumptions!$E$41:$E$364,$C41)/365*Assumptions!$D$23,0))),0))-(IF((Assumptions!$D$25+IF($C41="P001",-SUMIFS(Assumptions!$L$41:$L$364,Assumptions!$C$41:$C$364,$D$4,Assumptions!$E$41:$E$364,$C41)/365*Assumptions!$D$23,0))&gt;0,MIN(O41,(Assumptions!$D$25+IF($C41="P001",-SUMIFS(Assumptions!$L$41:$L$364,Assumptions!$C$41:$C$364,$D$4,Assumptions!$E$41:$E$364,$C41)/365*Assumptions!$D$23,0))),0))</f>
        <v>49.0484451908398</v>
      </c>
      <c r="X41" s="16" t="n">
        <f aca="false">N41+R41</f>
        <v>452.13470778618</v>
      </c>
      <c r="Y41" s="16" t="n">
        <f aca="false">Assumptions!$D$17</f>
        <v>62.619</v>
      </c>
      <c r="Z41" s="16" t="n">
        <f aca="false">X41+Y41</f>
        <v>514.75370778618</v>
      </c>
      <c r="AA41" s="16" t="n">
        <f aca="false">MAX(0,Assumptions!$D$14-Assumptions!$D$16-R41)</f>
        <v>293.8</v>
      </c>
      <c r="AB41" s="16" t="n">
        <f aca="false">MAX(0,W41-Assumptions!$D$24)+AA41</f>
        <v>317.84844519084</v>
      </c>
      <c r="AC41" s="16" t="n">
        <f aca="false">SUMIFS(Assumptions!$AM$41:$AM$364,Assumptions!$C$41:$C$364,$D$4,Assumptions!$E$41:$E$364,$C41)+MAX(0,-W41)</f>
        <v>0</v>
      </c>
      <c r="AD41" s="14" t="str">
        <f aca="false">IF(COUNTIFS(Assumptions!$C$41:$C$364,$D$4,Assumptions!$E$41:$E$364,$C41,Assumptions!$AR$41:$AR$364,"*shutoff_active*")&gt;0,"SHUTOFF","AVAILABLE")</f>
        <v>AVAILABLE</v>
      </c>
    </row>
    <row r="42" customFormat="false" ht="15" hidden="false" customHeight="false" outlineLevel="0" collapsed="false">
      <c r="C42" s="14" t="s">
        <v>348</v>
      </c>
      <c r="D42" s="29" t="n">
        <v>47422</v>
      </c>
      <c r="E42" s="14" t="s">
        <v>335</v>
      </c>
      <c r="F42" s="14" t="s">
        <v>342</v>
      </c>
      <c r="G42" s="14" t="s">
        <v>288</v>
      </c>
      <c r="H42" s="14" t="n">
        <v>92</v>
      </c>
      <c r="I42" s="16" t="n">
        <f aca="false">SUMIFS(Assumptions!$T$41:$T$364,Assumptions!$C$41:$C$364,$D$4,Assumptions!$E$41:$E$364,$C42)+(Assumptions!$D$25+IF($C42="P001",-SUMIFS(Assumptions!$L$41:$L$364,Assumptions!$C$41:$C$364,$D$4,Assumptions!$E$41:$E$364,$C42)/365*Assumptions!$D$23,0))</f>
        <v>37.5504439999131</v>
      </c>
      <c r="J42" s="16" t="n">
        <f aca="false">N41</f>
        <v>452.13470778618</v>
      </c>
      <c r="K42" s="16" t="n">
        <f aca="false">SUMIFS(Assumptions!$Y$41:$Y$364,Assumptions!$C$41:$C$364,$D$4,Assumptions!$E$41:$E$364,$C42)*(Assumptions!$D$12/635)*(Assumptions!$D$18/7.5%)</f>
        <v>11.90625</v>
      </c>
      <c r="L42" s="16" t="n">
        <f aca="false">SUMIFS(Assumptions!$Z$41:$Z$364,Assumptions!$C$41:$C$364,$D$4,Assumptions!$E$41:$E$364,$C42)*(Assumptions!$D$26/50%)*IF(SUMIFS(Assumptions!$AO$41:$AO$364,Assumptions!$C$41:$C$364,$D$4,Assumptions!$E$41:$E$364,$C42)&gt;Assumptions!$D$24,1,0)</f>
        <v>17.89970998737</v>
      </c>
      <c r="M42" s="16" t="n">
        <f aca="false">SUMIFS(Assumptions!$AB$41:$AB$364,Assumptions!$C$41:$C$364,$D$4,Assumptions!$E$41:$E$364,$C42)</f>
        <v>0</v>
      </c>
      <c r="N42" s="16" t="n">
        <f aca="false">MAX(0,J42-K42-L42-M42)</f>
        <v>422.32874779881</v>
      </c>
      <c r="O42" s="16" t="n">
        <f aca="false">R41</f>
        <v>0</v>
      </c>
      <c r="P42" s="16" t="n">
        <f aca="false">SUMIFS(Assumptions!$AE$41:$AE$364,Assumptions!$C$41:$C$364,$D$4,Assumptions!$E$41:$E$364,$C42)+IF((Assumptions!$D$25+IF($C42="P001",-SUMIFS(Assumptions!$L$41:$L$364,Assumptions!$C$41:$C$364,$D$4,Assumptions!$E$41:$E$364,$C42)/365*Assumptions!$D$23,0))&lt;0,MIN(MAX(0,Assumptions!$D$14-Assumptions!$D$16-O42),-(Assumptions!$D$25+IF($C42="P001",-SUMIFS(Assumptions!$L$41:$L$364,Assumptions!$C$41:$C$364,$D$4,Assumptions!$E$41:$E$364,$C42)/365*Assumptions!$D$23,0))),0)</f>
        <v>0</v>
      </c>
      <c r="Q42" s="16" t="n">
        <f aca="false">SUMIFS(Assumptions!$AF$41:$AF$364,Assumptions!$C$41:$C$364,$D$4,Assumptions!$E$41:$E$364,$C42)+IF((Assumptions!$D$25+IF($C42="P001",-SUMIFS(Assumptions!$L$41:$L$364,Assumptions!$C$41:$C$364,$D$4,Assumptions!$E$41:$E$364,$C42)/365*Assumptions!$D$23,0))&gt;0,MIN(O42,(Assumptions!$D$25+IF($C42="P001",-SUMIFS(Assumptions!$L$41:$L$364,Assumptions!$C$41:$C$364,$D$4,Assumptions!$E$41:$E$364,$C42)/365*Assumptions!$D$23,0))),0)</f>
        <v>0</v>
      </c>
      <c r="R42" s="16" t="n">
        <f aca="false">MAX(0,O42+P42-Q42)</f>
        <v>0</v>
      </c>
      <c r="S42" s="16" t="n">
        <f aca="false">(J42+N42+O42+R42)/2</f>
        <v>437.231727792495</v>
      </c>
      <c r="T42" s="16" t="n">
        <f aca="false">IF(Assumptions!$D$19="","",IF(((SUMIFS(Assumptions!$W$41:$W$364,Assumptions!$C$41:$C$364,$D$4,Assumptions!$E$41:$E$364,$C42)+SUMIFS(Assumptions!$AC$41:$AC$364,Assumptions!$C$41:$C$364,$D$4,Assumptions!$E$41:$E$364,$C42)+SUMIFS(Assumptions!$AD$41:$AD$364,Assumptions!$C$41:$C$364,$D$4,Assumptions!$E$41:$E$364,$C42)+SUMIFS(Assumptions!$AG$41:$AG$364,Assumptions!$C$41:$C$364,$D$4,Assumptions!$E$41:$E$364,$C42))/2)=0,0,SUMIFS(Assumptions!$AI$41:$AI$364,Assumptions!$C$41:$C$364,$D$4,Assumptions!$E$41:$E$364,$C42)*S42/((SUMIFS(Assumptions!$W$41:$W$364,Assumptions!$C$41:$C$364,$D$4,Assumptions!$E$41:$E$364,$C42)+SUMIFS(Assumptions!$AC$41:$AC$364,Assumptions!$C$41:$C$364,$D$4,Assumptions!$E$41:$E$364,$C42)+SUMIFS(Assumptions!$AD$41:$AD$364,Assumptions!$C$41:$C$364,$D$4,Assumptions!$E$41:$E$364,$C42)+SUMIFS(Assumptions!$AG$41:$AG$364,Assumptions!$C$41:$C$364,$D$4,Assumptions!$E$41:$E$364,$C42))/2)*(Assumptions!$D$19/6.57%))+Assumptions!$D$20*S42*H42/365)</f>
        <v>7.39371921601301</v>
      </c>
      <c r="U42" s="16" t="n">
        <f aca="false">SUMIFS(Assumptions!$AJ$41:$AJ$364,Assumptions!$C$41:$C$364,$D$4,Assumptions!$E$41:$E$364,$C42)</f>
        <v>1.6245</v>
      </c>
      <c r="V42" s="16" t="n">
        <f aca="false">SUMIFS(Assumptions!$AK$41:$AK$364,Assumptions!$C$41:$C$364,$D$4,Assumptions!$E$41:$E$364,$C42)+SUMIFS(Assumptions!$AL$41:$AL$364,Assumptions!$C$41:$C$364,$D$4,Assumptions!$E$41:$E$364,$C42)</f>
        <v>4.875</v>
      </c>
      <c r="W42" s="16" t="n">
        <f aca="false">W41+(SUMIFS(Assumptions!$V$41:$V$364,Assumptions!$C$41:$C$364,$D$4,Assumptions!$E$41:$E$364,$C42)-SUMIFS(Assumptions!$U$41:$U$364,Assumptions!$C$41:$C$364,$D$4,Assumptions!$E$41:$E$364,$C42))+(Assumptions!$D$25+IF($C42="P001",-SUMIFS(Assumptions!$L$41:$L$364,Assumptions!$C$41:$C$364,$D$4,Assumptions!$E$41:$E$364,$C42)/365*Assumptions!$D$23,0))+(IF((Assumptions!$D$25+IF($C42="P001",-SUMIFS(Assumptions!$L$41:$L$364,Assumptions!$C$41:$C$364,$D$4,Assumptions!$E$41:$E$364,$C42)/365*Assumptions!$D$23,0))&lt;0,MIN(MAX(0,Assumptions!$D$14-Assumptions!$D$16-O42),-(Assumptions!$D$25+IF($C42="P001",-SUMIFS(Assumptions!$L$41:$L$364,Assumptions!$C$41:$C$364,$D$4,Assumptions!$E$41:$E$364,$C42)/365*Assumptions!$D$23,0))),0))-(IF((Assumptions!$D$25+IF($C42="P001",-SUMIFS(Assumptions!$L$41:$L$364,Assumptions!$C$41:$C$364,$D$4,Assumptions!$E$41:$E$364,$C42)/365*Assumptions!$D$23,0))&gt;0,MIN(O42,(Assumptions!$D$25+IF($C42="P001",-SUMIFS(Assumptions!$L$41:$L$364,Assumptions!$C$41:$C$364,$D$4,Assumptions!$E$41:$E$364,$C42)/365*Assumptions!$D$23,0))),0))</f>
        <v>42.89970998737</v>
      </c>
      <c r="X42" s="16" t="n">
        <f aca="false">N42+R42</f>
        <v>422.32874779881</v>
      </c>
      <c r="Y42" s="16" t="n">
        <f aca="false">Assumptions!$D$17</f>
        <v>62.619</v>
      </c>
      <c r="Z42" s="16" t="n">
        <f aca="false">X42+Y42</f>
        <v>484.94774779881</v>
      </c>
      <c r="AA42" s="16" t="n">
        <f aca="false">MAX(0,Assumptions!$D$14-Assumptions!$D$16-R42)</f>
        <v>293.8</v>
      </c>
      <c r="AB42" s="16" t="n">
        <f aca="false">MAX(0,W42-Assumptions!$D$24)+AA42</f>
        <v>311.69970998737</v>
      </c>
      <c r="AC42" s="16" t="n">
        <f aca="false">SUMIFS(Assumptions!$AM$41:$AM$364,Assumptions!$C$41:$C$364,$D$4,Assumptions!$E$41:$E$364,$C42)+MAX(0,-W42)</f>
        <v>0</v>
      </c>
      <c r="AD42" s="14" t="str">
        <f aca="false">IF(COUNTIFS(Assumptions!$C$41:$C$364,$D$4,Assumptions!$E$41:$E$364,$C42,Assumptions!$AR$41:$AR$364,"*shutoff_active*")&gt;0,"SHUTOFF","AVAILABLE")</f>
        <v>AVAILABLE</v>
      </c>
    </row>
    <row r="43" customFormat="false" ht="15" hidden="false" customHeight="false" outlineLevel="0" collapsed="false">
      <c r="C43" s="14" t="s">
        <v>350</v>
      </c>
      <c r="D43" s="29" t="n">
        <v>47514</v>
      </c>
      <c r="E43" s="14" t="s">
        <v>335</v>
      </c>
      <c r="F43" s="14" t="s">
        <v>351</v>
      </c>
      <c r="G43" s="14" t="s">
        <v>303</v>
      </c>
      <c r="H43" s="14" t="n">
        <v>92</v>
      </c>
      <c r="I43" s="16" t="n">
        <f aca="false">SUMIFS(Assumptions!$T$41:$T$364,Assumptions!$C$41:$C$364,$D$4,Assumptions!$E$41:$E$364,$C43)+(Assumptions!$D$25+IF($C43="P001",-SUMIFS(Assumptions!$L$41:$L$364,Assumptions!$C$41:$C$364,$D$4,Assumptions!$E$41:$E$364,$C43)/365*Assumptions!$D$23,0))</f>
        <v>15.6472167669691</v>
      </c>
      <c r="J43" s="16" t="n">
        <f aca="false">N42</f>
        <v>422.32874779881</v>
      </c>
      <c r="K43" s="16" t="n">
        <f aca="false">SUMIFS(Assumptions!$Y$41:$Y$364,Assumptions!$C$41:$C$364,$D$4,Assumptions!$E$41:$E$364,$C43)*(Assumptions!$D$12/635)*(Assumptions!$D$18/7.5%)</f>
        <v>11.90625</v>
      </c>
      <c r="L43" s="16" t="n">
        <f aca="false">SUMIFS(Assumptions!$Z$41:$Z$364,Assumptions!$C$41:$C$364,$D$4,Assumptions!$E$41:$E$364,$C43)*(Assumptions!$D$26/50%)*IF(SUMIFS(Assumptions!$AO$41:$AO$364,Assumptions!$C$41:$C$364,$D$4,Assumptions!$E$41:$E$364,$C43)&gt;Assumptions!$D$24,1,0)</f>
        <v>0</v>
      </c>
      <c r="M43" s="16" t="n">
        <f aca="false">SUMIFS(Assumptions!$AB$41:$AB$364,Assumptions!$C$41:$C$364,$D$4,Assumptions!$E$41:$E$364,$C43)</f>
        <v>0</v>
      </c>
      <c r="N43" s="16" t="n">
        <f aca="false">MAX(0,J43-K43-L43-M43)</f>
        <v>410.42249779881</v>
      </c>
      <c r="O43" s="16" t="n">
        <f aca="false">R42</f>
        <v>0</v>
      </c>
      <c r="P43" s="16" t="n">
        <f aca="false">SUMIFS(Assumptions!$AE$41:$AE$364,Assumptions!$C$41:$C$364,$D$4,Assumptions!$E$41:$E$364,$C43)+IF((Assumptions!$D$25+IF($C43="P001",-SUMIFS(Assumptions!$L$41:$L$364,Assumptions!$C$41:$C$364,$D$4,Assumptions!$E$41:$E$364,$C43)/365*Assumptions!$D$23,0))&lt;0,MIN(MAX(0,Assumptions!$D$14-Assumptions!$D$16-O43),-(Assumptions!$D$25+IF($C43="P001",-SUMIFS(Assumptions!$L$41:$L$364,Assumptions!$C$41:$C$364,$D$4,Assumptions!$E$41:$E$364,$C43)/365*Assumptions!$D$23,0))),0)</f>
        <v>0</v>
      </c>
      <c r="Q43" s="16" t="n">
        <f aca="false">SUMIFS(Assumptions!$AF$41:$AF$364,Assumptions!$C$41:$C$364,$D$4,Assumptions!$E$41:$E$364,$C43)+IF((Assumptions!$D$25+IF($C43="P001",-SUMIFS(Assumptions!$L$41:$L$364,Assumptions!$C$41:$C$364,$D$4,Assumptions!$E$41:$E$364,$C43)/365*Assumptions!$D$23,0))&gt;0,MIN(O43,(Assumptions!$D$25+IF($C43="P001",-SUMIFS(Assumptions!$L$41:$L$364,Assumptions!$C$41:$C$364,$D$4,Assumptions!$E$41:$E$364,$C43)/365*Assumptions!$D$23,0))),0)</f>
        <v>0</v>
      </c>
      <c r="R43" s="16" t="n">
        <f aca="false">MAX(0,O43+P43-Q43)</f>
        <v>0</v>
      </c>
      <c r="S43" s="16" t="n">
        <f aca="false">(J43+N43+O43+R43)/2</f>
        <v>416.37562279881</v>
      </c>
      <c r="T43" s="16" t="n">
        <f aca="false">IF(Assumptions!$D$19="","",IF(((SUMIFS(Assumptions!$W$41:$W$364,Assumptions!$C$41:$C$364,$D$4,Assumptions!$E$41:$E$364,$C43)+SUMIFS(Assumptions!$AC$41:$AC$364,Assumptions!$C$41:$C$364,$D$4,Assumptions!$E$41:$E$364,$C43)+SUMIFS(Assumptions!$AD$41:$AD$364,Assumptions!$C$41:$C$364,$D$4,Assumptions!$E$41:$E$364,$C43)+SUMIFS(Assumptions!$AG$41:$AG$364,Assumptions!$C$41:$C$364,$D$4,Assumptions!$E$41:$E$364,$C43))/2)=0,0,SUMIFS(Assumptions!$AI$41:$AI$364,Assumptions!$C$41:$C$364,$D$4,Assumptions!$E$41:$E$364,$C43)*S43/((SUMIFS(Assumptions!$W$41:$W$364,Assumptions!$C$41:$C$364,$D$4,Assumptions!$E$41:$E$364,$C43)+SUMIFS(Assumptions!$AC$41:$AC$364,Assumptions!$C$41:$C$364,$D$4,Assumptions!$E$41:$E$364,$C43)+SUMIFS(Assumptions!$AD$41:$AD$364,Assumptions!$C$41:$C$364,$D$4,Assumptions!$E$41:$E$364,$C43)+SUMIFS(Assumptions!$AG$41:$AG$364,Assumptions!$C$41:$C$364,$D$4,Assumptions!$E$41:$E$364,$C43))/2)*(Assumptions!$D$19/6.57%))+Assumptions!$D$20*S43*H43/365)</f>
        <v>6.90415632322047</v>
      </c>
      <c r="U43" s="16" t="n">
        <f aca="false">SUMIFS(Assumptions!$AJ$41:$AJ$364,Assumptions!$C$41:$C$364,$D$4,Assumptions!$E$41:$E$364,$C43)</f>
        <v>1.5365</v>
      </c>
      <c r="V43" s="16" t="n">
        <f aca="false">SUMIFS(Assumptions!$AK$41:$AK$364,Assumptions!$C$41:$C$364,$D$4,Assumptions!$E$41:$E$364,$C43)+SUMIFS(Assumptions!$AL$41:$AL$364,Assumptions!$C$41:$C$364,$D$4,Assumptions!$E$41:$E$364,$C43)</f>
        <v>4.875</v>
      </c>
      <c r="W43" s="16" t="n">
        <f aca="false">W42+(SUMIFS(Assumptions!$V$41:$V$364,Assumptions!$C$41:$C$364,$D$4,Assumptions!$E$41:$E$364,$C43)-SUMIFS(Assumptions!$U$41:$U$364,Assumptions!$C$41:$C$364,$D$4,Assumptions!$E$41:$E$364,$C43))+(Assumptions!$D$25+IF($C43="P001",-SUMIFS(Assumptions!$L$41:$L$364,Assumptions!$C$41:$C$364,$D$4,Assumptions!$E$41:$E$364,$C43)/365*Assumptions!$D$23,0))+(IF((Assumptions!$D$25+IF($C43="P001",-SUMIFS(Assumptions!$L$41:$L$364,Assumptions!$C$41:$C$364,$D$4,Assumptions!$E$41:$E$364,$C43)/365*Assumptions!$D$23,0))&lt;0,MIN(MAX(0,Assumptions!$D$14-Assumptions!$D$16-O43),-(Assumptions!$D$25+IF($C43="P001",-SUMIFS(Assumptions!$L$41:$L$364,Assumptions!$C$41:$C$364,$D$4,Assumptions!$E$41:$E$364,$C43)/365*Assumptions!$D$23,0))),0))-(IF((Assumptions!$D$25+IF($C43="P001",-SUMIFS(Assumptions!$L$41:$L$364,Assumptions!$C$41:$C$364,$D$4,Assumptions!$E$41:$E$364,$C43)/365*Assumptions!$D$23,0))&gt;0,MIN(O43,(Assumptions!$D$25+IF($C43="P001",-SUMIFS(Assumptions!$L$41:$L$364,Assumptions!$C$41:$C$364,$D$4,Assumptions!$E$41:$E$364,$C43)/365*Assumptions!$D$23,0))),0))</f>
        <v>33.3250204311185</v>
      </c>
      <c r="X43" s="16" t="n">
        <f aca="false">N43+R43</f>
        <v>410.42249779881</v>
      </c>
      <c r="Y43" s="16" t="n">
        <f aca="false">Assumptions!$D$17</f>
        <v>62.619</v>
      </c>
      <c r="Z43" s="16" t="n">
        <f aca="false">X43+Y43</f>
        <v>473.04149779881</v>
      </c>
      <c r="AA43" s="16" t="n">
        <f aca="false">MAX(0,Assumptions!$D$14-Assumptions!$D$16-R43)</f>
        <v>293.8</v>
      </c>
      <c r="AB43" s="16" t="n">
        <f aca="false">MAX(0,W43-Assumptions!$D$24)+AA43</f>
        <v>302.125020431119</v>
      </c>
      <c r="AC43" s="16" t="n">
        <f aca="false">SUMIFS(Assumptions!$AM$41:$AM$364,Assumptions!$C$41:$C$364,$D$4,Assumptions!$E$41:$E$364,$C43)+MAX(0,-W43)</f>
        <v>0</v>
      </c>
      <c r="AD43" s="14" t="str">
        <f aca="false">IF(COUNTIFS(Assumptions!$C$41:$C$364,$D$4,Assumptions!$E$41:$E$364,$C43,Assumptions!$AR$41:$AR$364,"*shutoff_active*")&gt;0,"SHUTOFF","AVAILABLE")</f>
        <v>AVAILABLE</v>
      </c>
    </row>
    <row r="44" customFormat="false" ht="15" hidden="false" customHeight="false" outlineLevel="0" collapsed="false">
      <c r="C44" s="14" t="s">
        <v>353</v>
      </c>
      <c r="D44" s="29" t="n">
        <v>47603</v>
      </c>
      <c r="E44" s="14" t="s">
        <v>335</v>
      </c>
      <c r="F44" s="14" t="s">
        <v>351</v>
      </c>
      <c r="G44" s="14" t="s">
        <v>255</v>
      </c>
      <c r="H44" s="14" t="n">
        <v>89</v>
      </c>
      <c r="I44" s="16" t="n">
        <f aca="false">SUMIFS(Assumptions!$T$41:$T$364,Assumptions!$C$41:$C$364,$D$4,Assumptions!$E$41:$E$364,$C44)+(Assumptions!$D$25+IF($C44="P001",-SUMIFS(Assumptions!$L$41:$L$364,Assumptions!$C$41:$C$364,$D$4,Assumptions!$E$41:$E$364,$C44)/365*Assumptions!$D$23,0))</f>
        <v>37.9200769705635</v>
      </c>
      <c r="J44" s="16" t="n">
        <f aca="false">N43</f>
        <v>410.42249779881</v>
      </c>
      <c r="K44" s="16" t="n">
        <f aca="false">SUMIFS(Assumptions!$Y$41:$Y$364,Assumptions!$C$41:$C$364,$D$4,Assumptions!$E$41:$E$364,$C44)*(Assumptions!$D$12/635)*(Assumptions!$D$18/7.5%)</f>
        <v>11.90625</v>
      </c>
      <c r="L44" s="16" t="n">
        <f aca="false">SUMIFS(Assumptions!$Z$41:$Z$364,Assumptions!$C$41:$C$364,$D$4,Assumptions!$E$41:$E$364,$C44)*(Assumptions!$D$26/50%)*IF(SUMIFS(Assumptions!$AO$41:$AO$364,Assumptions!$C$41:$C$364,$D$4,Assumptions!$E$41:$E$364,$C44)&gt;Assumptions!$D$24,1,0)</f>
        <v>0</v>
      </c>
      <c r="M44" s="16" t="n">
        <f aca="false">SUMIFS(Assumptions!$AB$41:$AB$364,Assumptions!$C$41:$C$364,$D$4,Assumptions!$E$41:$E$364,$C44)</f>
        <v>0</v>
      </c>
      <c r="N44" s="16" t="n">
        <f aca="false">MAX(0,J44-K44-L44-M44)</f>
        <v>398.51624779881</v>
      </c>
      <c r="O44" s="16" t="n">
        <f aca="false">R43</f>
        <v>0</v>
      </c>
      <c r="P44" s="16" t="n">
        <f aca="false">SUMIFS(Assumptions!$AE$41:$AE$364,Assumptions!$C$41:$C$364,$D$4,Assumptions!$E$41:$E$364,$C44)+IF((Assumptions!$D$25+IF($C44="P001",-SUMIFS(Assumptions!$L$41:$L$364,Assumptions!$C$41:$C$364,$D$4,Assumptions!$E$41:$E$364,$C44)/365*Assumptions!$D$23,0))&lt;0,MIN(MAX(0,Assumptions!$D$14-Assumptions!$D$16-O44),-(Assumptions!$D$25+IF($C44="P001",-SUMIFS(Assumptions!$L$41:$L$364,Assumptions!$C$41:$C$364,$D$4,Assumptions!$E$41:$E$364,$C44)/365*Assumptions!$D$23,0))),0)</f>
        <v>0</v>
      </c>
      <c r="Q44" s="16" t="n">
        <f aca="false">SUMIFS(Assumptions!$AF$41:$AF$364,Assumptions!$C$41:$C$364,$D$4,Assumptions!$E$41:$E$364,$C44)+IF((Assumptions!$D$25+IF($C44="P001",-SUMIFS(Assumptions!$L$41:$L$364,Assumptions!$C$41:$C$364,$D$4,Assumptions!$E$41:$E$364,$C44)/365*Assumptions!$D$23,0))&gt;0,MIN(O44,(Assumptions!$D$25+IF($C44="P001",-SUMIFS(Assumptions!$L$41:$L$364,Assumptions!$C$41:$C$364,$D$4,Assumptions!$E$41:$E$364,$C44)/365*Assumptions!$D$23,0))),0)</f>
        <v>0</v>
      </c>
      <c r="R44" s="16" t="n">
        <f aca="false">MAX(0,O44+P44-Q44)</f>
        <v>0</v>
      </c>
      <c r="S44" s="16" t="n">
        <f aca="false">(J44+N44+O44+R44)/2</f>
        <v>404.46937279881</v>
      </c>
      <c r="T44" s="16" t="n">
        <f aca="false">IF(Assumptions!$D$19="","",IF(((SUMIFS(Assumptions!$W$41:$W$364,Assumptions!$C$41:$C$364,$D$4,Assumptions!$E$41:$E$364,$C44)+SUMIFS(Assumptions!$AC$41:$AC$364,Assumptions!$C$41:$C$364,$D$4,Assumptions!$E$41:$E$364,$C44)+SUMIFS(Assumptions!$AD$41:$AD$364,Assumptions!$C$41:$C$364,$D$4,Assumptions!$E$41:$E$364,$C44)+SUMIFS(Assumptions!$AG$41:$AG$364,Assumptions!$C$41:$C$364,$D$4,Assumptions!$E$41:$E$364,$C44))/2)=0,0,SUMIFS(Assumptions!$AI$41:$AI$364,Assumptions!$C$41:$C$364,$D$4,Assumptions!$E$41:$E$364,$C44)*S44/((SUMIFS(Assumptions!$W$41:$W$364,Assumptions!$C$41:$C$364,$D$4,Assumptions!$E$41:$E$364,$C44)+SUMIFS(Assumptions!$AC$41:$AC$364,Assumptions!$C$41:$C$364,$D$4,Assumptions!$E$41:$E$364,$C44)+SUMIFS(Assumptions!$AD$41:$AD$364,Assumptions!$C$41:$C$364,$D$4,Assumptions!$E$41:$E$364,$C44)+SUMIFS(Assumptions!$AG$41:$AG$364,Assumptions!$C$41:$C$364,$D$4,Assumptions!$E$41:$E$364,$C44))/2)*(Assumptions!$D$19/6.57%))+Assumptions!$D$20*S44*H44/365)</f>
        <v>6.70859616697046</v>
      </c>
      <c r="U44" s="16" t="n">
        <f aca="false">SUMIFS(Assumptions!$AJ$41:$AJ$364,Assumptions!$C$41:$C$364,$D$4,Assumptions!$E$41:$E$364,$C44)</f>
        <v>1.5365</v>
      </c>
      <c r="V44" s="16" t="n">
        <f aca="false">SUMIFS(Assumptions!$AK$41:$AK$364,Assumptions!$C$41:$C$364,$D$4,Assumptions!$E$41:$E$364,$C44)+SUMIFS(Assumptions!$AL$41:$AL$364,Assumptions!$C$41:$C$364,$D$4,Assumptions!$E$41:$E$364,$C44)</f>
        <v>4.875</v>
      </c>
      <c r="W44" s="16" t="n">
        <f aca="false">W43+(SUMIFS(Assumptions!$V$41:$V$364,Assumptions!$C$41:$C$364,$D$4,Assumptions!$E$41:$E$364,$C44)-SUMIFS(Assumptions!$U$41:$U$364,Assumptions!$C$41:$C$364,$D$4,Assumptions!$E$41:$E$364,$C44))+(Assumptions!$D$25+IF($C44="P001",-SUMIFS(Assumptions!$L$41:$L$364,Assumptions!$C$41:$C$364,$D$4,Assumptions!$E$41:$E$364,$C44)/365*Assumptions!$D$23,0))+(IF((Assumptions!$D$25+IF($C44="P001",-SUMIFS(Assumptions!$L$41:$L$364,Assumptions!$C$41:$C$364,$D$4,Assumptions!$E$41:$E$364,$C44)/365*Assumptions!$D$23,0))&lt;0,MIN(MAX(0,Assumptions!$D$14-Assumptions!$D$16-O44),-(Assumptions!$D$25+IF($C44="P001",-SUMIFS(Assumptions!$L$41:$L$364,Assumptions!$C$41:$C$364,$D$4,Assumptions!$E$41:$E$364,$C44)/365*Assumptions!$D$23,0))),0))-(IF((Assumptions!$D$25+IF($C44="P001",-SUMIFS(Assumptions!$L$41:$L$364,Assumptions!$C$41:$C$364,$D$4,Assumptions!$E$41:$E$364,$C44)/365*Assumptions!$D$23,0))&gt;0,MIN(O44,(Assumptions!$D$25+IF($C44="P001",-SUMIFS(Assumptions!$L$41:$L$364,Assumptions!$C$41:$C$364,$D$4,Assumptions!$E$41:$E$364,$C44)/365*Assumptions!$D$23,0))),0))</f>
        <v>46.2187512347115</v>
      </c>
      <c r="X44" s="16" t="n">
        <f aca="false">N44+R44</f>
        <v>398.51624779881</v>
      </c>
      <c r="Y44" s="16" t="n">
        <f aca="false">Assumptions!$D$17</f>
        <v>62.619</v>
      </c>
      <c r="Z44" s="16" t="n">
        <f aca="false">X44+Y44</f>
        <v>461.13524779881</v>
      </c>
      <c r="AA44" s="16" t="n">
        <f aca="false">MAX(0,Assumptions!$D$14-Assumptions!$D$16-R44)</f>
        <v>293.8</v>
      </c>
      <c r="AB44" s="16" t="n">
        <f aca="false">MAX(0,W44-Assumptions!$D$24)+AA44</f>
        <v>315.018751234712</v>
      </c>
      <c r="AC44" s="16" t="n">
        <f aca="false">SUMIFS(Assumptions!$AM$41:$AM$364,Assumptions!$C$41:$C$364,$D$4,Assumptions!$E$41:$E$364,$C44)+MAX(0,-W44)</f>
        <v>0</v>
      </c>
      <c r="AD44" s="14" t="str">
        <f aca="false">IF(COUNTIFS(Assumptions!$C$41:$C$364,$D$4,Assumptions!$E$41:$E$364,$C44,Assumptions!$AR$41:$AR$364,"*shutoff_active*")&gt;0,"SHUTOFF","AVAILABLE")</f>
        <v>AVAILABLE</v>
      </c>
    </row>
    <row r="45" customFormat="false" ht="15" hidden="false" customHeight="false" outlineLevel="0" collapsed="false">
      <c r="C45" s="14" t="s">
        <v>355</v>
      </c>
      <c r="D45" s="29" t="n">
        <v>47695</v>
      </c>
      <c r="E45" s="14" t="s">
        <v>335</v>
      </c>
      <c r="F45" s="14" t="s">
        <v>351</v>
      </c>
      <c r="G45" s="14" t="s">
        <v>271</v>
      </c>
      <c r="H45" s="14" t="n">
        <v>92</v>
      </c>
      <c r="I45" s="16" t="n">
        <f aca="false">SUMIFS(Assumptions!$T$41:$T$364,Assumptions!$C$41:$C$364,$D$4,Assumptions!$E$41:$E$364,$C45)+(Assumptions!$D$25+IF($C45="P001",-SUMIFS(Assumptions!$L$41:$L$364,Assumptions!$C$41:$C$364,$D$4,Assumptions!$E$41:$E$364,$C45)/365*Assumptions!$D$23,0))</f>
        <v>37.1270872937535</v>
      </c>
      <c r="J45" s="16" t="n">
        <f aca="false">N44</f>
        <v>398.51624779881</v>
      </c>
      <c r="K45" s="16" t="n">
        <f aca="false">SUMIFS(Assumptions!$Y$41:$Y$364,Assumptions!$C$41:$C$364,$D$4,Assumptions!$E$41:$E$364,$C45)*(Assumptions!$D$12/635)*(Assumptions!$D$18/7.5%)</f>
        <v>11.90625</v>
      </c>
      <c r="L45" s="16" t="n">
        <f aca="false">SUMIFS(Assumptions!$Z$41:$Z$364,Assumptions!$C$41:$C$364,$D$4,Assumptions!$E$41:$E$364,$C45)*(Assumptions!$D$26/50%)*IF(SUMIFS(Assumptions!$AO$41:$AO$364,Assumptions!$C$41:$C$364,$D$4,Assumptions!$E$41:$E$364,$C45)&gt;Assumptions!$D$24,1,0)</f>
        <v>0</v>
      </c>
      <c r="M45" s="16" t="n">
        <f aca="false">SUMIFS(Assumptions!$AB$41:$AB$364,Assumptions!$C$41:$C$364,$D$4,Assumptions!$E$41:$E$364,$C45)</f>
        <v>0</v>
      </c>
      <c r="N45" s="16" t="n">
        <f aca="false">MAX(0,J45-K45-L45-M45)</f>
        <v>386.60999779881</v>
      </c>
      <c r="O45" s="16" t="n">
        <f aca="false">R44</f>
        <v>0</v>
      </c>
      <c r="P45" s="16" t="n">
        <f aca="false">SUMIFS(Assumptions!$AE$41:$AE$364,Assumptions!$C$41:$C$364,$D$4,Assumptions!$E$41:$E$364,$C45)+IF((Assumptions!$D$25+IF($C45="P001",-SUMIFS(Assumptions!$L$41:$L$364,Assumptions!$C$41:$C$364,$D$4,Assumptions!$E$41:$E$364,$C45)/365*Assumptions!$D$23,0))&lt;0,MIN(MAX(0,Assumptions!$D$14-Assumptions!$D$16-O45),-(Assumptions!$D$25+IF($C45="P001",-SUMIFS(Assumptions!$L$41:$L$364,Assumptions!$C$41:$C$364,$D$4,Assumptions!$E$41:$E$364,$C45)/365*Assumptions!$D$23,0))),0)</f>
        <v>0</v>
      </c>
      <c r="Q45" s="16" t="n">
        <f aca="false">SUMIFS(Assumptions!$AF$41:$AF$364,Assumptions!$C$41:$C$364,$D$4,Assumptions!$E$41:$E$364,$C45)+IF((Assumptions!$D$25+IF($C45="P001",-SUMIFS(Assumptions!$L$41:$L$364,Assumptions!$C$41:$C$364,$D$4,Assumptions!$E$41:$E$364,$C45)/365*Assumptions!$D$23,0))&gt;0,MIN(O45,(Assumptions!$D$25+IF($C45="P001",-SUMIFS(Assumptions!$L$41:$L$364,Assumptions!$C$41:$C$364,$D$4,Assumptions!$E$41:$E$364,$C45)/365*Assumptions!$D$23,0))),0)</f>
        <v>0</v>
      </c>
      <c r="R45" s="16" t="n">
        <f aca="false">MAX(0,O45+P45-Q45)</f>
        <v>0</v>
      </c>
      <c r="S45" s="16" t="n">
        <f aca="false">(J45+N45+O45+R45)/2</f>
        <v>392.56312279881</v>
      </c>
      <c r="T45" s="16" t="n">
        <f aca="false">IF(Assumptions!$D$19="","",IF(((SUMIFS(Assumptions!$W$41:$W$364,Assumptions!$C$41:$C$364,$D$4,Assumptions!$E$41:$E$364,$C45)+SUMIFS(Assumptions!$AC$41:$AC$364,Assumptions!$C$41:$C$364,$D$4,Assumptions!$E$41:$E$364,$C45)+SUMIFS(Assumptions!$AD$41:$AD$364,Assumptions!$C$41:$C$364,$D$4,Assumptions!$E$41:$E$364,$C45)+SUMIFS(Assumptions!$AG$41:$AG$364,Assumptions!$C$41:$C$364,$D$4,Assumptions!$E$41:$E$364,$C45))/2)=0,0,SUMIFS(Assumptions!$AI$41:$AI$364,Assumptions!$C$41:$C$364,$D$4,Assumptions!$E$41:$E$364,$C45)*S45/((SUMIFS(Assumptions!$W$41:$W$364,Assumptions!$C$41:$C$364,$D$4,Assumptions!$E$41:$E$364,$C45)+SUMIFS(Assumptions!$AC$41:$AC$364,Assumptions!$C$41:$C$364,$D$4,Assumptions!$E$41:$E$364,$C45)+SUMIFS(Assumptions!$AD$41:$AD$364,Assumptions!$C$41:$C$364,$D$4,Assumptions!$E$41:$E$364,$C45)+SUMIFS(Assumptions!$AG$41:$AG$364,Assumptions!$C$41:$C$364,$D$4,Assumptions!$E$41:$E$364,$C45))/2)*(Assumptions!$D$19/6.57%))+Assumptions!$D$20*S45*H45/365)</f>
        <v>6.51303601072047</v>
      </c>
      <c r="U45" s="16" t="n">
        <f aca="false">SUMIFS(Assumptions!$AJ$41:$AJ$364,Assumptions!$C$41:$C$364,$D$4,Assumptions!$E$41:$E$364,$C45)</f>
        <v>1.5365</v>
      </c>
      <c r="V45" s="16" t="n">
        <f aca="false">SUMIFS(Assumptions!$AK$41:$AK$364,Assumptions!$C$41:$C$364,$D$4,Assumptions!$E$41:$E$364,$C45)+SUMIFS(Assumptions!$AL$41:$AL$364,Assumptions!$C$41:$C$364,$D$4,Assumptions!$E$41:$E$364,$C45)</f>
        <v>4.875</v>
      </c>
      <c r="W45" s="16" t="n">
        <f aca="false">W44+(SUMIFS(Assumptions!$V$41:$V$364,Assumptions!$C$41:$C$364,$D$4,Assumptions!$E$41:$E$364,$C45)-SUMIFS(Assumptions!$U$41:$U$364,Assumptions!$C$41:$C$364,$D$4,Assumptions!$E$41:$E$364,$C45))+(Assumptions!$D$25+IF($C45="P001",-SUMIFS(Assumptions!$L$41:$L$364,Assumptions!$C$41:$C$364,$D$4,Assumptions!$E$41:$E$364,$C45)/365*Assumptions!$D$23,0))+(IF((Assumptions!$D$25+IF($C45="P001",-SUMIFS(Assumptions!$L$41:$L$364,Assumptions!$C$41:$C$364,$D$4,Assumptions!$E$41:$E$364,$C45)/365*Assumptions!$D$23,0))&lt;0,MIN(MAX(0,Assumptions!$D$14-Assumptions!$D$16-O45),-(Assumptions!$D$25+IF($C45="P001",-SUMIFS(Assumptions!$L$41:$L$364,Assumptions!$C$41:$C$364,$D$4,Assumptions!$E$41:$E$364,$C45)/365*Assumptions!$D$23,0))),0))-(IF((Assumptions!$D$25+IF($C45="P001",-SUMIFS(Assumptions!$L$41:$L$364,Assumptions!$C$41:$C$364,$D$4,Assumptions!$E$41:$E$364,$C45)/365*Assumptions!$D$23,0))&gt;0,MIN(O45,(Assumptions!$D$25+IF($C45="P001",-SUMIFS(Assumptions!$L$41:$L$364,Assumptions!$C$41:$C$364,$D$4,Assumptions!$E$41:$E$364,$C45)/365*Assumptions!$D$23,0))),0))</f>
        <v>58.5150525177446</v>
      </c>
      <c r="X45" s="16" t="n">
        <f aca="false">N45+R45</f>
        <v>386.60999779881</v>
      </c>
      <c r="Y45" s="16" t="n">
        <f aca="false">Assumptions!$D$17</f>
        <v>62.619</v>
      </c>
      <c r="Z45" s="16" t="n">
        <f aca="false">X45+Y45</f>
        <v>449.22899779881</v>
      </c>
      <c r="AA45" s="16" t="n">
        <f aca="false">MAX(0,Assumptions!$D$14-Assumptions!$D$16-R45)</f>
        <v>293.8</v>
      </c>
      <c r="AB45" s="16" t="n">
        <f aca="false">MAX(0,W45-Assumptions!$D$24)+AA45</f>
        <v>327.315052517745</v>
      </c>
      <c r="AC45" s="16" t="n">
        <f aca="false">SUMIFS(Assumptions!$AM$41:$AM$364,Assumptions!$C$41:$C$364,$D$4,Assumptions!$E$41:$E$364,$C45)+MAX(0,-W45)</f>
        <v>0</v>
      </c>
      <c r="AD45" s="14" t="str">
        <f aca="false">IF(COUNTIFS(Assumptions!$C$41:$C$364,$D$4,Assumptions!$E$41:$E$364,$C45,Assumptions!$AR$41:$AR$364,"*shutoff_active*")&gt;0,"SHUTOFF","AVAILABLE")</f>
        <v>AVAILABLE</v>
      </c>
    </row>
    <row r="46" customFormat="false" ht="15" hidden="false" customHeight="false" outlineLevel="0" collapsed="false">
      <c r="C46" s="14" t="s">
        <v>357</v>
      </c>
      <c r="D46" s="29" t="n">
        <v>47787</v>
      </c>
      <c r="E46" s="14" t="s">
        <v>335</v>
      </c>
      <c r="F46" s="14" t="s">
        <v>351</v>
      </c>
      <c r="G46" s="14" t="s">
        <v>288</v>
      </c>
      <c r="H46" s="14" t="n">
        <v>92</v>
      </c>
      <c r="I46" s="16" t="n">
        <f aca="false">SUMIFS(Assumptions!$T$41:$T$364,Assumptions!$C$41:$C$364,$D$4,Assumptions!$E$41:$E$364,$C46)+(Assumptions!$D$25+IF($C46="P001",-SUMIFS(Assumptions!$L$41:$L$364,Assumptions!$C$41:$C$364,$D$4,Assumptions!$E$41:$E$364,$C46)/365*Assumptions!$D$23,0))</f>
        <v>37.5495052388131</v>
      </c>
      <c r="J46" s="16" t="n">
        <f aca="false">N45</f>
        <v>386.60999779881</v>
      </c>
      <c r="K46" s="16" t="n">
        <f aca="false">SUMIFS(Assumptions!$Y$41:$Y$364,Assumptions!$C$41:$C$364,$D$4,Assumptions!$E$41:$E$364,$C46)*(Assumptions!$D$12/635)*(Assumptions!$D$18/7.5%)</f>
        <v>11.90625</v>
      </c>
      <c r="L46" s="16" t="n">
        <f aca="false">SUMIFS(Assumptions!$Z$41:$Z$364,Assumptions!$C$41:$C$364,$D$4,Assumptions!$E$41:$E$364,$C46)*(Assumptions!$D$26/50%)*IF(SUMIFS(Assumptions!$AO$41:$AO$364,Assumptions!$C$41:$C$364,$D$4,Assumptions!$E$41:$E$364,$C46)&gt;Assumptions!$D$24,1,0)</f>
        <v>23.2146659510436</v>
      </c>
      <c r="M46" s="16" t="n">
        <f aca="false">SUMIFS(Assumptions!$AB$41:$AB$364,Assumptions!$C$41:$C$364,$D$4,Assumptions!$E$41:$E$364,$C46)</f>
        <v>0</v>
      </c>
      <c r="N46" s="16" t="n">
        <f aca="false">MAX(0,J46-K46-L46-M46)</f>
        <v>351.489081847767</v>
      </c>
      <c r="O46" s="16" t="n">
        <f aca="false">R45</f>
        <v>0</v>
      </c>
      <c r="P46" s="16" t="n">
        <f aca="false">SUMIFS(Assumptions!$AE$41:$AE$364,Assumptions!$C$41:$C$364,$D$4,Assumptions!$E$41:$E$364,$C46)+IF((Assumptions!$D$25+IF($C46="P001",-SUMIFS(Assumptions!$L$41:$L$364,Assumptions!$C$41:$C$364,$D$4,Assumptions!$E$41:$E$364,$C46)/365*Assumptions!$D$23,0))&lt;0,MIN(MAX(0,Assumptions!$D$14-Assumptions!$D$16-O46),-(Assumptions!$D$25+IF($C46="P001",-SUMIFS(Assumptions!$L$41:$L$364,Assumptions!$C$41:$C$364,$D$4,Assumptions!$E$41:$E$364,$C46)/365*Assumptions!$D$23,0))),0)</f>
        <v>0</v>
      </c>
      <c r="Q46" s="16" t="n">
        <f aca="false">SUMIFS(Assumptions!$AF$41:$AF$364,Assumptions!$C$41:$C$364,$D$4,Assumptions!$E$41:$E$364,$C46)+IF((Assumptions!$D$25+IF($C46="P001",-SUMIFS(Assumptions!$L$41:$L$364,Assumptions!$C$41:$C$364,$D$4,Assumptions!$E$41:$E$364,$C46)/365*Assumptions!$D$23,0))&gt;0,MIN(O46,(Assumptions!$D$25+IF($C46="P001",-SUMIFS(Assumptions!$L$41:$L$364,Assumptions!$C$41:$C$364,$D$4,Assumptions!$E$41:$E$364,$C46)/365*Assumptions!$D$23,0))),0)</f>
        <v>0</v>
      </c>
      <c r="R46" s="16" t="n">
        <f aca="false">MAX(0,O46+P46-Q46)</f>
        <v>0</v>
      </c>
      <c r="S46" s="16" t="n">
        <f aca="false">(J46+N46+O46+R46)/2</f>
        <v>369.049539823289</v>
      </c>
      <c r="T46" s="16" t="n">
        <f aca="false">IF(Assumptions!$D$19="","",IF(((SUMIFS(Assumptions!$W$41:$W$364,Assumptions!$C$41:$C$364,$D$4,Assumptions!$E$41:$E$364,$C46)+SUMIFS(Assumptions!$AC$41:$AC$364,Assumptions!$C$41:$C$364,$D$4,Assumptions!$E$41:$E$364,$C46)+SUMIFS(Assumptions!$AD$41:$AD$364,Assumptions!$C$41:$C$364,$D$4,Assumptions!$E$41:$E$364,$C46)+SUMIFS(Assumptions!$AG$41:$AG$364,Assumptions!$C$41:$C$364,$D$4,Assumptions!$E$41:$E$364,$C46))/2)=0,0,SUMIFS(Assumptions!$AI$41:$AI$364,Assumptions!$C$41:$C$364,$D$4,Assumptions!$E$41:$E$364,$C46)*S46/((SUMIFS(Assumptions!$W$41:$W$364,Assumptions!$C$41:$C$364,$D$4,Assumptions!$E$41:$E$364,$C46)+SUMIFS(Assumptions!$AC$41:$AC$364,Assumptions!$C$41:$C$364,$D$4,Assumptions!$E$41:$E$364,$C46)+SUMIFS(Assumptions!$AD$41:$AD$364,Assumptions!$C$41:$C$364,$D$4,Assumptions!$E$41:$E$364,$C46)+SUMIFS(Assumptions!$AG$41:$AG$364,Assumptions!$C$41:$C$364,$D$4,Assumptions!$E$41:$E$364,$C46))/2)*(Assumptions!$D$19/6.57%))+Assumptions!$D$20*S46*H46/365)</f>
        <v>6.31747585447046</v>
      </c>
      <c r="U46" s="16" t="n">
        <f aca="false">SUMIFS(Assumptions!$AJ$41:$AJ$364,Assumptions!$C$41:$C$364,$D$4,Assumptions!$E$41:$E$364,$C46)</f>
        <v>1.5365</v>
      </c>
      <c r="V46" s="16" t="n">
        <f aca="false">SUMIFS(Assumptions!$AK$41:$AK$364,Assumptions!$C$41:$C$364,$D$4,Assumptions!$E$41:$E$364,$C46)+SUMIFS(Assumptions!$AL$41:$AL$364,Assumptions!$C$41:$C$364,$D$4,Assumptions!$E$41:$E$364,$C46)</f>
        <v>4.875</v>
      </c>
      <c r="W46" s="16" t="n">
        <f aca="false">W45+(SUMIFS(Assumptions!$V$41:$V$364,Assumptions!$C$41:$C$364,$D$4,Assumptions!$E$41:$E$364,$C46)-SUMIFS(Assumptions!$U$41:$U$364,Assumptions!$C$41:$C$364,$D$4,Assumptions!$E$41:$E$364,$C46))+(Assumptions!$D$25+IF($C46="P001",-SUMIFS(Assumptions!$L$41:$L$364,Assumptions!$C$41:$C$364,$D$4,Assumptions!$E$41:$E$364,$C46)/365*Assumptions!$D$23,0))+(IF((Assumptions!$D$25+IF($C46="P001",-SUMIFS(Assumptions!$L$41:$L$364,Assumptions!$C$41:$C$364,$D$4,Assumptions!$E$41:$E$364,$C46)/365*Assumptions!$D$23,0))&lt;0,MIN(MAX(0,Assumptions!$D$14-Assumptions!$D$16-O46),-(Assumptions!$D$25+IF($C46="P001",-SUMIFS(Assumptions!$L$41:$L$364,Assumptions!$C$41:$C$364,$D$4,Assumptions!$E$41:$E$364,$C46)/365*Assumptions!$D$23,0))),0))-(IF((Assumptions!$D$25+IF($C46="P001",-SUMIFS(Assumptions!$L$41:$L$364,Assumptions!$C$41:$C$364,$D$4,Assumptions!$E$41:$E$364,$C46)/365*Assumptions!$D$23,0))&gt;0,MIN(O46,(Assumptions!$D$25+IF($C46="P001",-SUMIFS(Assumptions!$L$41:$L$364,Assumptions!$C$41:$C$364,$D$4,Assumptions!$E$41:$E$364,$C46)/365*Assumptions!$D$23,0))),0))</f>
        <v>48.2146659510436</v>
      </c>
      <c r="X46" s="16" t="n">
        <f aca="false">N46+R46</f>
        <v>351.489081847767</v>
      </c>
      <c r="Y46" s="16" t="n">
        <f aca="false">Assumptions!$D$17</f>
        <v>62.619</v>
      </c>
      <c r="Z46" s="16" t="n">
        <f aca="false">X46+Y46</f>
        <v>414.108081847767</v>
      </c>
      <c r="AA46" s="16" t="n">
        <f aca="false">MAX(0,Assumptions!$D$14-Assumptions!$D$16-R46)</f>
        <v>293.8</v>
      </c>
      <c r="AB46" s="16" t="n">
        <f aca="false">MAX(0,W46-Assumptions!$D$24)+AA46</f>
        <v>317.014665951044</v>
      </c>
      <c r="AC46" s="16" t="n">
        <f aca="false">SUMIFS(Assumptions!$AM$41:$AM$364,Assumptions!$C$41:$C$364,$D$4,Assumptions!$E$41:$E$364,$C46)+MAX(0,-W46)</f>
        <v>0</v>
      </c>
      <c r="AD46" s="14" t="str">
        <f aca="false">IF(COUNTIFS(Assumptions!$C$41:$C$364,$D$4,Assumptions!$E$41:$E$364,$C46,Assumptions!$AR$41:$AR$364,"*shutoff_active*")&gt;0,"SHUTOFF","AVAILABLE")</f>
        <v>AVAILABLE</v>
      </c>
    </row>
    <row r="47" customFormat="false" ht="15" hidden="false" customHeight="false" outlineLevel="0" collapsed="false">
      <c r="C47" s="14" t="s">
        <v>359</v>
      </c>
      <c r="D47" s="29" t="n">
        <v>47879</v>
      </c>
      <c r="E47" s="14" t="s">
        <v>335</v>
      </c>
      <c r="F47" s="14" t="s">
        <v>360</v>
      </c>
      <c r="G47" s="14" t="s">
        <v>303</v>
      </c>
      <c r="H47" s="14" t="n">
        <v>92</v>
      </c>
      <c r="I47" s="16" t="n">
        <f aca="false">SUMIFS(Assumptions!$T$41:$T$364,Assumptions!$C$41:$C$364,$D$4,Assumptions!$E$41:$E$364,$C47)+(Assumptions!$D$25+IF($C47="P001",-SUMIFS(Assumptions!$L$41:$L$364,Assumptions!$C$41:$C$364,$D$4,Assumptions!$E$41:$E$364,$C47)/365*Assumptions!$D$23,0))</f>
        <v>15.6468255865499</v>
      </c>
      <c r="J47" s="16" t="n">
        <f aca="false">N46</f>
        <v>351.489081847767</v>
      </c>
      <c r="K47" s="16" t="n">
        <f aca="false">SUMIFS(Assumptions!$Y$41:$Y$364,Assumptions!$C$41:$C$364,$D$4,Assumptions!$E$41:$E$364,$C47)*(Assumptions!$D$12/635)*(Assumptions!$D$18/7.5%)</f>
        <v>11.90625</v>
      </c>
      <c r="L47" s="16" t="n">
        <f aca="false">SUMIFS(Assumptions!$Z$41:$Z$364,Assumptions!$C$41:$C$364,$D$4,Assumptions!$E$41:$E$364,$C47)*(Assumptions!$D$26/50%)*IF(SUMIFS(Assumptions!$AO$41:$AO$364,Assumptions!$C$41:$C$364,$D$4,Assumptions!$E$41:$E$364,$C47)&gt;Assumptions!$D$24,1,0)</f>
        <v>0</v>
      </c>
      <c r="M47" s="16" t="n">
        <f aca="false">SUMIFS(Assumptions!$AB$41:$AB$364,Assumptions!$C$41:$C$364,$D$4,Assumptions!$E$41:$E$364,$C47)</f>
        <v>14.8031267276189</v>
      </c>
      <c r="N47" s="16" t="n">
        <f aca="false">MAX(0,J47-K47-L47-M47)</f>
        <v>324.779705120148</v>
      </c>
      <c r="O47" s="16" t="n">
        <f aca="false">R46</f>
        <v>0</v>
      </c>
      <c r="P47" s="16" t="n">
        <f aca="false">SUMIFS(Assumptions!$AE$41:$AE$364,Assumptions!$C$41:$C$364,$D$4,Assumptions!$E$41:$E$364,$C47)+IF((Assumptions!$D$25+IF($C47="P001",-SUMIFS(Assumptions!$L$41:$L$364,Assumptions!$C$41:$C$364,$D$4,Assumptions!$E$41:$E$364,$C47)/365*Assumptions!$D$23,0))&lt;0,MIN(MAX(0,Assumptions!$D$14-Assumptions!$D$16-O47),-(Assumptions!$D$25+IF($C47="P001",-SUMIFS(Assumptions!$L$41:$L$364,Assumptions!$C$41:$C$364,$D$4,Assumptions!$E$41:$E$364,$C47)/365*Assumptions!$D$23,0))),0)</f>
        <v>0</v>
      </c>
      <c r="Q47" s="16" t="n">
        <f aca="false">SUMIFS(Assumptions!$AF$41:$AF$364,Assumptions!$C$41:$C$364,$D$4,Assumptions!$E$41:$E$364,$C47)+IF((Assumptions!$D$25+IF($C47="P001",-SUMIFS(Assumptions!$L$41:$L$364,Assumptions!$C$41:$C$364,$D$4,Assumptions!$E$41:$E$364,$C47)/365*Assumptions!$D$23,0))&gt;0,MIN(O47,(Assumptions!$D$25+IF($C47="P001",-SUMIFS(Assumptions!$L$41:$L$364,Assumptions!$C$41:$C$364,$D$4,Assumptions!$E$41:$E$364,$C47)/365*Assumptions!$D$23,0))),0)</f>
        <v>0</v>
      </c>
      <c r="R47" s="16" t="n">
        <f aca="false">MAX(0,O47+P47-Q47)</f>
        <v>0</v>
      </c>
      <c r="S47" s="16" t="n">
        <f aca="false">(J47+N47+O47+R47)/2</f>
        <v>338.134393483957</v>
      </c>
      <c r="T47" s="16" t="n">
        <f aca="false">IF(Assumptions!$D$19="","",IF(((SUMIFS(Assumptions!$W$41:$W$364,Assumptions!$C$41:$C$364,$D$4,Assumptions!$E$41:$E$364,$C47)+SUMIFS(Assumptions!$AC$41:$AC$364,Assumptions!$C$41:$C$364,$D$4,Assumptions!$E$41:$E$364,$C47)+SUMIFS(Assumptions!$AD$41:$AD$364,Assumptions!$C$41:$C$364,$D$4,Assumptions!$E$41:$E$364,$C47)+SUMIFS(Assumptions!$AG$41:$AG$364,Assumptions!$C$41:$C$364,$D$4,Assumptions!$E$41:$E$364,$C47))/2)=0,0,SUMIFS(Assumptions!$AI$41:$AI$364,Assumptions!$C$41:$C$364,$D$4,Assumptions!$E$41:$E$364,$C47)*S47/((SUMIFS(Assumptions!$W$41:$W$364,Assumptions!$C$41:$C$364,$D$4,Assumptions!$E$41:$E$364,$C47)+SUMIFS(Assumptions!$AC$41:$AC$364,Assumptions!$C$41:$C$364,$D$4,Assumptions!$E$41:$E$364,$C47)+SUMIFS(Assumptions!$AD$41:$AD$364,Assumptions!$C$41:$C$364,$D$4,Assumptions!$E$41:$E$364,$C47)+SUMIFS(Assumptions!$AG$41:$AG$364,Assumptions!$C$41:$C$364,$D$4,Assumptions!$E$41:$E$364,$C47))/2)*(Assumptions!$D$19/6.57%))+Assumptions!$D$20*S47*H47/365)</f>
        <v>5.74061480997457</v>
      </c>
      <c r="U47" s="16" t="n">
        <f aca="false">SUMIFS(Assumptions!$AJ$41:$AJ$364,Assumptions!$C$41:$C$364,$D$4,Assumptions!$E$41:$E$364,$C47)</f>
        <v>1.5365</v>
      </c>
      <c r="V47" s="16" t="n">
        <f aca="false">SUMIFS(Assumptions!$AK$41:$AK$364,Assumptions!$C$41:$C$364,$D$4,Assumptions!$E$41:$E$364,$C47)+SUMIFS(Assumptions!$AL$41:$AL$364,Assumptions!$C$41:$C$364,$D$4,Assumptions!$E$41:$E$364,$C47)</f>
        <v>4.875</v>
      </c>
      <c r="W47" s="16" t="n">
        <f aca="false">W46+(SUMIFS(Assumptions!$V$41:$V$364,Assumptions!$C$41:$C$364,$D$4,Assumptions!$E$41:$E$364,$C47)-SUMIFS(Assumptions!$U$41:$U$364,Assumptions!$C$41:$C$364,$D$4,Assumptions!$E$41:$E$364,$C47))+(Assumptions!$D$25+IF($C47="P001",-SUMIFS(Assumptions!$L$41:$L$364,Assumptions!$C$41:$C$364,$D$4,Assumptions!$E$41:$E$364,$C47)/365*Assumptions!$D$23,0))+(IF((Assumptions!$D$25+IF($C47="P001",-SUMIFS(Assumptions!$L$41:$L$364,Assumptions!$C$41:$C$364,$D$4,Assumptions!$E$41:$E$364,$C47)/365*Assumptions!$D$23,0))&lt;0,MIN(MAX(0,Assumptions!$D$14-Assumptions!$D$16-O47),-(Assumptions!$D$25+IF($C47="P001",-SUMIFS(Assumptions!$L$41:$L$364,Assumptions!$C$41:$C$364,$D$4,Assumptions!$E$41:$E$364,$C47)/365*Assumptions!$D$23,0))),0))-(IF((Assumptions!$D$25+IF($C47="P001",-SUMIFS(Assumptions!$L$41:$L$364,Assumptions!$C$41:$C$364,$D$4,Assumptions!$E$41:$E$364,$C47)/365*Assumptions!$D$23,0))&gt;0,MIN(O47,(Assumptions!$D$25+IF($C47="P001",-SUMIFS(Assumptions!$L$41:$L$364,Assumptions!$C$41:$C$364,$D$4,Assumptions!$E$41:$E$364,$C47)/365*Assumptions!$D$23,0))),0))</f>
        <v>25</v>
      </c>
      <c r="X47" s="16" t="n">
        <f aca="false">N47+R47</f>
        <v>324.779705120148</v>
      </c>
      <c r="Y47" s="16" t="n">
        <f aca="false">Assumptions!$D$17</f>
        <v>62.619</v>
      </c>
      <c r="Z47" s="16" t="n">
        <f aca="false">X47+Y47</f>
        <v>387.398705120148</v>
      </c>
      <c r="AA47" s="16" t="n">
        <f aca="false">MAX(0,Assumptions!$D$14-Assumptions!$D$16-R47)</f>
        <v>293.8</v>
      </c>
      <c r="AB47" s="16" t="n">
        <f aca="false">MAX(0,W47-Assumptions!$D$24)+AA47</f>
        <v>293.8</v>
      </c>
      <c r="AC47" s="16" t="n">
        <f aca="false">SUMIFS(Assumptions!$AM$41:$AM$364,Assumptions!$C$41:$C$364,$D$4,Assumptions!$E$41:$E$364,$C47)+MAX(0,-W47)</f>
        <v>0</v>
      </c>
      <c r="AD47" s="14" t="str">
        <f aca="false">IF(COUNTIFS(Assumptions!$C$41:$C$364,$D$4,Assumptions!$E$41:$E$364,$C47,Assumptions!$AR$41:$AR$364,"*shutoff_active*")&gt;0,"SHUTOFF","AVAILABLE")</f>
        <v>AVAILABLE</v>
      </c>
    </row>
  </sheetData>
  <conditionalFormatting sqref="AD12:AD47">
    <cfRule type="containsText" priority="2" operator="containsText" aboveAverage="0" equalAverage="0" bottom="0" percent="0" rank="0" text="BREACH" dxfId="40">
      <formula>NOT(ISERROR(SEARCH("BREACH",AD12)))</formula>
    </cfRule>
    <cfRule type="containsText" priority="3" operator="containsText" aboveAverage="0" equalAverage="0" bottom="0" percent="0" rank="0" text="FAIL" dxfId="41">
      <formula>NOT(ISERROR(SEARCH("FAIL",AD12)))</formula>
    </cfRule>
    <cfRule type="containsText" priority="4" operator="containsText" aboveAverage="0" equalAverage="0" bottom="0" percent="0" rank="0" text="WARNING" dxfId="42">
      <formula>NOT(ISERROR(SEARCH("WARNING",AD12)))</formula>
    </cfRule>
    <cfRule type="containsText" priority="5" operator="containsText" aboveAverage="0" equalAverage="0" bottom="0" percent="0" rank="0" text="STALE" dxfId="43">
      <formula>NOT(ISERROR(SEARCH("STALE",AD12)))</formula>
    </cfRule>
    <cfRule type="containsText" priority="6" operator="containsText" aboveAverage="0" equalAverage="0" bottom="0" percent="0" rank="0" text="N/D" dxfId="44">
      <formula>NOT(ISERROR(SEARCH("N/D",AD12)))</formula>
    </cfRule>
  </conditionalFormatting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7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X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30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8" min="7" style="1" width="13"/>
    <col collapsed="false" customWidth="true" hidden="false" outlineLevel="0" max="10" min="9" style="1" width="15"/>
    <col collapsed="false" customWidth="true" hidden="false" outlineLevel="0" max="11" min="11" style="1" width="14"/>
    <col collapsed="false" customWidth="true" hidden="false" outlineLevel="0" max="12" min="12" style="1" width="16"/>
    <col collapsed="false" customWidth="true" hidden="false" outlineLevel="0" max="14" min="13" style="1" width="13"/>
    <col collapsed="false" customWidth="true" hidden="false" outlineLevel="0" max="15" min="15" style="1" width="14"/>
    <col collapsed="false" customWidth="true" hidden="false" outlineLevel="0" max="16" min="16" style="1" width="17"/>
    <col collapsed="false" customWidth="true" hidden="false" outlineLevel="0" max="17" min="17" style="1" width="15"/>
    <col collapsed="false" customWidth="true" hidden="false" outlineLevel="0" max="18" min="18" style="1" width="20"/>
    <col collapsed="false" customWidth="true" hidden="false" outlineLevel="0" max="20" min="19" style="1" width="17"/>
    <col collapsed="false" customWidth="true" hidden="false" outlineLevel="0" max="21" min="21" style="1" width="18"/>
    <col collapsed="false" customWidth="true" hidden="false" outlineLevel="0" max="22" min="22" style="1" width="16"/>
    <col collapsed="false" customWidth="true" hidden="false" outlineLevel="0" max="23" min="23" style="1" width="17"/>
    <col collapsed="false" customWidth="true" hidden="false" outlineLevel="0" max="24" min="24" style="1" width="11"/>
  </cols>
  <sheetData>
    <row r="2" customFormat="false" ht="18.55" hidden="false" customHeight="false" outlineLevel="0" collapsed="false">
      <c r="C2" s="2" t="s">
        <v>946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5" hidden="false" customHeight="false" outlineLevel="0" collapsed="false">
      <c r="C4" s="3" t="s">
        <v>1</v>
      </c>
      <c r="D4" s="5" t="str">
        <f aca="false">Assumptions!$D$4</f>
        <v>Base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15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customFormat="false" ht="15" hidden="false" customHeight="false" outlineLevel="0" collapsed="false">
      <c r="C6" s="3" t="s">
        <v>43</v>
      </c>
      <c r="D6" s="16" t="n">
        <f aca="false">Assumptions!D14-Assumptions!D16-Assumptions!D15</f>
        <v>263.90228125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customFormat="false" ht="15" hidden="false" customHeight="false" outlineLevel="0" collapsed="false">
      <c r="C7" s="3" t="s">
        <v>947</v>
      </c>
      <c r="D7" s="16" t="n">
        <f aca="false">MIN(P13:P48)</f>
        <v>270.341345383776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customFormat="false" ht="15" hidden="false" customHeight="false" outlineLevel="0" collapsed="false">
      <c r="C8" s="3" t="s">
        <v>948</v>
      </c>
      <c r="D8" s="29" t="n">
        <f aca="false">INDEX(D13:D48,MATCH(D7,P13:P48,0))</f>
        <v>46081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customFormat="false" ht="15" hidden="false" customHeight="false" outlineLevel="0" collapsed="false">
      <c r="C9" s="3" t="s">
        <v>949</v>
      </c>
      <c r="D9" s="16" t="n">
        <f aca="false">MIN(D6,D7)</f>
        <v>263.90228125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customFormat="false" ht="15" hidden="false" customHeight="false" outlineLevel="0" collapsed="false">
      <c r="C10" s="3" t="s">
        <v>950</v>
      </c>
      <c r="D10" s="29" t="str">
        <f aca="false">IF(D6&lt;=D7,"Opening position",D8)</f>
        <v>Opening position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customFormat="false" ht="15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customFormat="false" ht="26.85" hidden="false" customHeight="false" outlineLevel="0" collapsed="false">
      <c r="C12" s="10" t="s">
        <v>925</v>
      </c>
      <c r="D12" s="11" t="s">
        <v>926</v>
      </c>
      <c r="E12" s="11" t="s">
        <v>927</v>
      </c>
      <c r="F12" s="11" t="s">
        <v>951</v>
      </c>
      <c r="G12" s="11" t="s">
        <v>662</v>
      </c>
      <c r="H12" s="11" t="s">
        <v>41</v>
      </c>
      <c r="I12" s="11" t="s">
        <v>663</v>
      </c>
      <c r="J12" s="11" t="s">
        <v>952</v>
      </c>
      <c r="K12" s="11" t="s">
        <v>922</v>
      </c>
      <c r="L12" s="11" t="s">
        <v>934</v>
      </c>
      <c r="M12" s="11" t="s">
        <v>935</v>
      </c>
      <c r="N12" s="11" t="s">
        <v>939</v>
      </c>
      <c r="O12" s="11" t="s">
        <v>953</v>
      </c>
      <c r="P12" s="11" t="s">
        <v>954</v>
      </c>
      <c r="Q12" s="11" t="s">
        <v>944</v>
      </c>
      <c r="R12" s="11" t="s">
        <v>7</v>
      </c>
      <c r="S12" s="11" t="s">
        <v>887</v>
      </c>
      <c r="T12" s="11" t="s">
        <v>955</v>
      </c>
      <c r="U12" s="11" t="s">
        <v>956</v>
      </c>
      <c r="V12" s="11" t="s">
        <v>110</v>
      </c>
      <c r="W12" s="12" t="s">
        <v>673</v>
      </c>
      <c r="X12" s="49" t="s">
        <v>957</v>
      </c>
    </row>
    <row r="13" customFormat="false" ht="15" hidden="false" customHeight="false" outlineLevel="0" collapsed="false">
      <c r="C13" s="14" t="str">
        <f aca="false">'Debt Schedule'!C12</f>
        <v>P001</v>
      </c>
      <c r="D13" s="29" t="n">
        <f aca="false">'Debt Schedule'!D12</f>
        <v>46081</v>
      </c>
      <c r="E13" s="14" t="str">
        <f aca="false">'Debt Schedule'!E12</f>
        <v>monthly</v>
      </c>
      <c r="F13" s="16" t="n">
        <f aca="false">25</f>
        <v>25</v>
      </c>
      <c r="G13" s="16" t="n">
        <f aca="false">'Debt Schedule'!I12</f>
        <v>12.3826688725337</v>
      </c>
      <c r="H13" s="16" t="n">
        <f aca="false">'Debt Schedule'!T12</f>
        <v>3.62268807209103</v>
      </c>
      <c r="I13" s="16" t="n">
        <f aca="false">'Debt Schedule'!K12</f>
        <v>0</v>
      </c>
      <c r="J13" s="16" t="n">
        <f aca="false">'Debt Schedule'!U12</f>
        <v>0.695916666666667</v>
      </c>
      <c r="K13" s="16" t="n">
        <f aca="false">'Debt Schedule'!V12</f>
        <v>1.625</v>
      </c>
      <c r="L13" s="16" t="n">
        <f aca="false">'Debt Schedule'!P12</f>
        <v>0</v>
      </c>
      <c r="M13" s="16" t="n">
        <f aca="false">'Debt Schedule'!Q12</f>
        <v>6.43906413377599</v>
      </c>
      <c r="N13" s="16" t="n">
        <f aca="false">'Debt Schedule'!W12</f>
        <v>25</v>
      </c>
      <c r="O13" s="16" t="n">
        <f aca="false">'Debt Schedule'!R12</f>
        <v>23.458654616224</v>
      </c>
      <c r="P13" s="16" t="n">
        <f aca="false">'Debt Schedule'!AA12</f>
        <v>270.341345383776</v>
      </c>
      <c r="Q13" s="16" t="n">
        <f aca="false">'Debt Schedule'!AB12</f>
        <v>270.341345383776</v>
      </c>
      <c r="R13" s="19" t="str">
        <f aca="false">IF('Debt Schedule'!AC12&gt;0,"PAYMENT FAILURE",IF(P13&lt;Assumptions!$D$31,"LIQUIDITY BREACH",IF(P13&lt;Assumptions!$D$34,"WARNING","COMPLIANT")))</f>
        <v>COMPLIANT</v>
      </c>
      <c r="S13" s="43" t="n">
        <f aca="false">MAX(0,Assumptions!$D$14-O13)</f>
        <v>276.541345383776</v>
      </c>
      <c r="T13" s="19" t="str">
        <f aca="false">IF(N13&lt;Assumptions!$D$24,"BELOW FLOOR","NO")</f>
        <v>NO</v>
      </c>
      <c r="U13" s="19" t="str">
        <f aca="false">IF(P13&lt;=0.001,"EXHAUSTED","NO")</f>
        <v>NO</v>
      </c>
      <c r="V13" s="19" t="str">
        <f aca="false">'Debt Schedule'!AD12</f>
        <v>AVAILABLE</v>
      </c>
      <c r="W13" s="16" t="n">
        <f aca="false">'Debt Schedule'!AC12</f>
        <v>0</v>
      </c>
      <c r="X13" s="19" t="str">
        <f aca="false">TEXT(D13,"mmm-yy")</f>
        <v>Feb-26</v>
      </c>
    </row>
    <row r="14" customFormat="false" ht="15" hidden="false" customHeight="false" outlineLevel="0" collapsed="false">
      <c r="C14" s="14" t="str">
        <f aca="false">'Debt Schedule'!C13</f>
        <v>P002</v>
      </c>
      <c r="D14" s="29" t="n">
        <f aca="false">'Debt Schedule'!D13</f>
        <v>46112</v>
      </c>
      <c r="E14" s="14" t="str">
        <f aca="false">'Debt Schedule'!E13</f>
        <v>monthly</v>
      </c>
      <c r="F14" s="16" t="n">
        <f aca="false">'Debt Schedule'!W12</f>
        <v>25</v>
      </c>
      <c r="G14" s="16" t="n">
        <f aca="false">'Debt Schedule'!I13</f>
        <v>12.3826688725337</v>
      </c>
      <c r="H14" s="16" t="n">
        <f aca="false">'Debt Schedule'!T13</f>
        <v>3.58733742355825</v>
      </c>
      <c r="I14" s="16" t="n">
        <f aca="false">'Debt Schedule'!K13</f>
        <v>0</v>
      </c>
      <c r="J14" s="16" t="n">
        <f aca="false">'Debt Schedule'!U13</f>
        <v>0.695916666666667</v>
      </c>
      <c r="K14" s="16" t="n">
        <f aca="false">'Debt Schedule'!V13</f>
        <v>1.625</v>
      </c>
      <c r="L14" s="16" t="n">
        <f aca="false">'Debt Schedule'!P13</f>
        <v>0</v>
      </c>
      <c r="M14" s="16" t="n">
        <f aca="false">'Debt Schedule'!Q13</f>
        <v>6.47441478230876</v>
      </c>
      <c r="N14" s="16" t="n">
        <f aca="false">'Debt Schedule'!W13</f>
        <v>25</v>
      </c>
      <c r="O14" s="16" t="n">
        <f aca="false">'Debt Schedule'!R13</f>
        <v>16.9842398339152</v>
      </c>
      <c r="P14" s="16" t="n">
        <f aca="false">'Debt Schedule'!AA13</f>
        <v>276.815760166085</v>
      </c>
      <c r="Q14" s="16" t="n">
        <f aca="false">'Debt Schedule'!AB13</f>
        <v>276.815760166085</v>
      </c>
      <c r="R14" s="19" t="str">
        <f aca="false">IF('Debt Schedule'!AC13&gt;0,"PAYMENT FAILURE",IF(P14&lt;Assumptions!$D$31,"LIQUIDITY BREACH",IF(P14&lt;Assumptions!$D$34,"WARNING","COMPLIANT")))</f>
        <v>COMPLIANT</v>
      </c>
      <c r="S14" s="43" t="n">
        <f aca="false">MAX(0,Assumptions!$D$14-O14)</f>
        <v>283.015760166085</v>
      </c>
      <c r="T14" s="19" t="str">
        <f aca="false">IF(N14&lt;Assumptions!$D$24,"BELOW FLOOR","NO")</f>
        <v>NO</v>
      </c>
      <c r="U14" s="19" t="str">
        <f aca="false">IF(P14&lt;=0.001,"EXHAUSTED","NO")</f>
        <v>NO</v>
      </c>
      <c r="V14" s="19" t="str">
        <f aca="false">'Debt Schedule'!AD13</f>
        <v>AVAILABLE</v>
      </c>
      <c r="W14" s="16" t="n">
        <f aca="false">'Debt Schedule'!AC13</f>
        <v>0</v>
      </c>
      <c r="X14" s="19" t="str">
        <f aca="false">TEXT(D14,"mmm-yy")</f>
        <v>Mar-26</v>
      </c>
    </row>
    <row r="15" customFormat="false" ht="15" hidden="false" customHeight="false" outlineLevel="0" collapsed="false">
      <c r="C15" s="14" t="str">
        <f aca="false">'Debt Schedule'!C14</f>
        <v>P003</v>
      </c>
      <c r="D15" s="29" t="n">
        <f aca="false">'Debt Schedule'!D14</f>
        <v>46142</v>
      </c>
      <c r="E15" s="14" t="str">
        <f aca="false">'Debt Schedule'!E14</f>
        <v>monthly</v>
      </c>
      <c r="F15" s="16" t="n">
        <f aca="false">'Debt Schedule'!W13</f>
        <v>25</v>
      </c>
      <c r="G15" s="16" t="n">
        <f aca="false">'Debt Schedule'!I14</f>
        <v>12.3826688725337</v>
      </c>
      <c r="H15" s="16" t="n">
        <f aca="false">'Debt Schedule'!T14</f>
        <v>3.55179269893965</v>
      </c>
      <c r="I15" s="16" t="n">
        <f aca="false">'Debt Schedule'!K14</f>
        <v>11.90625</v>
      </c>
      <c r="J15" s="16" t="n">
        <f aca="false">'Debt Schedule'!U14</f>
        <v>0.695916666666667</v>
      </c>
      <c r="K15" s="16" t="n">
        <f aca="false">'Debt Schedule'!V14</f>
        <v>1.625</v>
      </c>
      <c r="L15" s="16" t="n">
        <f aca="false">'Debt Schedule'!P14</f>
        <v>5.39629049307264</v>
      </c>
      <c r="M15" s="16" t="n">
        <f aca="false">'Debt Schedule'!Q14</f>
        <v>0</v>
      </c>
      <c r="N15" s="16" t="n">
        <f aca="false">'Debt Schedule'!W14</f>
        <v>25</v>
      </c>
      <c r="O15" s="16" t="n">
        <f aca="false">'Debt Schedule'!R14</f>
        <v>22.3805303269879</v>
      </c>
      <c r="P15" s="16" t="n">
        <f aca="false">'Debt Schedule'!AA14</f>
        <v>271.419469673012</v>
      </c>
      <c r="Q15" s="16" t="n">
        <f aca="false">'Debt Schedule'!AB14</f>
        <v>271.419469673012</v>
      </c>
      <c r="R15" s="19" t="str">
        <f aca="false">IF('Debt Schedule'!AC14&gt;0,"PAYMENT FAILURE",IF(P15&lt;Assumptions!$D$31,"LIQUIDITY BREACH",IF(P15&lt;Assumptions!$D$34,"WARNING","COMPLIANT")))</f>
        <v>COMPLIANT</v>
      </c>
      <c r="S15" s="43" t="n">
        <f aca="false">MAX(0,Assumptions!$D$14-O15)</f>
        <v>277.619469673012</v>
      </c>
      <c r="T15" s="19" t="str">
        <f aca="false">IF(N15&lt;Assumptions!$D$24,"BELOW FLOOR","NO")</f>
        <v>NO</v>
      </c>
      <c r="U15" s="19" t="str">
        <f aca="false">IF(P15&lt;=0.001,"EXHAUSTED","NO")</f>
        <v>NO</v>
      </c>
      <c r="V15" s="19" t="str">
        <f aca="false">'Debt Schedule'!AD14</f>
        <v>AVAILABLE</v>
      </c>
      <c r="W15" s="16" t="n">
        <f aca="false">'Debt Schedule'!AC14</f>
        <v>0</v>
      </c>
      <c r="X15" s="19" t="str">
        <f aca="false">TEXT(D15,"mmm-yy")</f>
        <v>Apr-26</v>
      </c>
    </row>
    <row r="16" customFormat="false" ht="15" hidden="false" customHeight="false" outlineLevel="0" collapsed="false">
      <c r="C16" s="14" t="str">
        <f aca="false">'Debt Schedule'!C15</f>
        <v>P004</v>
      </c>
      <c r="D16" s="29" t="n">
        <f aca="false">'Debt Schedule'!D15</f>
        <v>46173</v>
      </c>
      <c r="E16" s="14" t="str">
        <f aca="false">'Debt Schedule'!E15</f>
        <v>monthly</v>
      </c>
      <c r="F16" s="16" t="n">
        <f aca="false">'Debt Schedule'!W14</f>
        <v>25</v>
      </c>
      <c r="G16" s="16" t="n">
        <f aca="false">'Debt Schedule'!I15</f>
        <v>12.349254204762</v>
      </c>
      <c r="H16" s="16" t="n">
        <f aca="false">'Debt Schedule'!T15</f>
        <v>3.51614455650415</v>
      </c>
      <c r="I16" s="16" t="n">
        <f aca="false">'Debt Schedule'!K15</f>
        <v>0</v>
      </c>
      <c r="J16" s="16" t="n">
        <f aca="false">'Debt Schedule'!U15</f>
        <v>0.695916666666667</v>
      </c>
      <c r="K16" s="16" t="n">
        <f aca="false">'Debt Schedule'!V15</f>
        <v>1.625</v>
      </c>
      <c r="L16" s="16" t="n">
        <f aca="false">'Debt Schedule'!P15</f>
        <v>0</v>
      </c>
      <c r="M16" s="16" t="n">
        <f aca="false">'Debt Schedule'!Q15</f>
        <v>6.5121929815912</v>
      </c>
      <c r="N16" s="16" t="n">
        <f aca="false">'Debt Schedule'!W15</f>
        <v>25</v>
      </c>
      <c r="O16" s="16" t="n">
        <f aca="false">'Debt Schedule'!R15</f>
        <v>15.8683373453967</v>
      </c>
      <c r="P16" s="16" t="n">
        <f aca="false">'Debt Schedule'!AA15</f>
        <v>277.931662654603</v>
      </c>
      <c r="Q16" s="16" t="n">
        <f aca="false">'Debt Schedule'!AB15</f>
        <v>277.931662654603</v>
      </c>
      <c r="R16" s="19" t="str">
        <f aca="false">IF('Debt Schedule'!AC15&gt;0,"PAYMENT FAILURE",IF(P16&lt;Assumptions!$D$31,"LIQUIDITY BREACH",IF(P16&lt;Assumptions!$D$34,"WARNING","COMPLIANT")))</f>
        <v>COMPLIANT</v>
      </c>
      <c r="S16" s="43" t="n">
        <f aca="false">MAX(0,Assumptions!$D$14-O16)</f>
        <v>284.131662654603</v>
      </c>
      <c r="T16" s="19" t="str">
        <f aca="false">IF(N16&lt;Assumptions!$D$24,"BELOW FLOOR","NO")</f>
        <v>NO</v>
      </c>
      <c r="U16" s="19" t="str">
        <f aca="false">IF(P16&lt;=0.001,"EXHAUSTED","NO")</f>
        <v>NO</v>
      </c>
      <c r="V16" s="19" t="str">
        <f aca="false">'Debt Schedule'!AD15</f>
        <v>AVAILABLE</v>
      </c>
      <c r="W16" s="16" t="n">
        <f aca="false">'Debt Schedule'!AC15</f>
        <v>0</v>
      </c>
      <c r="X16" s="19" t="str">
        <f aca="false">TEXT(D16,"mmm-yy")</f>
        <v>May-26</v>
      </c>
    </row>
    <row r="17" customFormat="false" ht="15" hidden="false" customHeight="false" outlineLevel="0" collapsed="false">
      <c r="C17" s="14" t="str">
        <f aca="false">'Debt Schedule'!C16</f>
        <v>P005</v>
      </c>
      <c r="D17" s="29" t="n">
        <f aca="false">'Debt Schedule'!D16</f>
        <v>46203</v>
      </c>
      <c r="E17" s="14" t="str">
        <f aca="false">'Debt Schedule'!E16</f>
        <v>monthly</v>
      </c>
      <c r="F17" s="16" t="n">
        <f aca="false">'Debt Schedule'!W15</f>
        <v>25</v>
      </c>
      <c r="G17" s="16" t="n">
        <f aca="false">'Debt Schedule'!I16</f>
        <v>12.349254204762</v>
      </c>
      <c r="H17" s="16" t="n">
        <f aca="false">'Debt Schedule'!T16</f>
        <v>3.48039242847948</v>
      </c>
      <c r="I17" s="16" t="n">
        <f aca="false">'Debt Schedule'!K16</f>
        <v>0</v>
      </c>
      <c r="J17" s="16" t="n">
        <f aca="false">'Debt Schedule'!U16</f>
        <v>0.695916666666667</v>
      </c>
      <c r="K17" s="16" t="n">
        <f aca="false">'Debt Schedule'!V16</f>
        <v>1.625</v>
      </c>
      <c r="L17" s="16" t="n">
        <f aca="false">'Debt Schedule'!P16</f>
        <v>0</v>
      </c>
      <c r="M17" s="16" t="n">
        <f aca="false">'Debt Schedule'!Q16</f>
        <v>6.54794510961587</v>
      </c>
      <c r="N17" s="16" t="n">
        <f aca="false">'Debt Schedule'!W16</f>
        <v>25</v>
      </c>
      <c r="O17" s="16" t="n">
        <f aca="false">'Debt Schedule'!R16</f>
        <v>9.32039223578079</v>
      </c>
      <c r="P17" s="16" t="n">
        <f aca="false">'Debt Schedule'!AA16</f>
        <v>284.479607764219</v>
      </c>
      <c r="Q17" s="16" t="n">
        <f aca="false">'Debt Schedule'!AB16</f>
        <v>284.479607764219</v>
      </c>
      <c r="R17" s="19" t="str">
        <f aca="false">IF('Debt Schedule'!AC16&gt;0,"PAYMENT FAILURE",IF(P17&lt;Assumptions!$D$31,"LIQUIDITY BREACH",IF(P17&lt;Assumptions!$D$34,"WARNING","COMPLIANT")))</f>
        <v>COMPLIANT</v>
      </c>
      <c r="S17" s="43" t="n">
        <f aca="false">MAX(0,Assumptions!$D$14-O17)</f>
        <v>290.679607764219</v>
      </c>
      <c r="T17" s="19" t="str">
        <f aca="false">IF(N17&lt;Assumptions!$D$24,"BELOW FLOOR","NO")</f>
        <v>NO</v>
      </c>
      <c r="U17" s="19" t="str">
        <f aca="false">IF(P17&lt;=0.001,"EXHAUSTED","NO")</f>
        <v>NO</v>
      </c>
      <c r="V17" s="19" t="str">
        <f aca="false">'Debt Schedule'!AD16</f>
        <v>AVAILABLE</v>
      </c>
      <c r="W17" s="16" t="n">
        <f aca="false">'Debt Schedule'!AC16</f>
        <v>0</v>
      </c>
      <c r="X17" s="19" t="str">
        <f aca="false">TEXT(D17,"mmm-yy")</f>
        <v>Jun-26</v>
      </c>
    </row>
    <row r="18" customFormat="false" ht="15" hidden="false" customHeight="false" outlineLevel="0" collapsed="false">
      <c r="C18" s="14" t="str">
        <f aca="false">'Debt Schedule'!C17</f>
        <v>P006</v>
      </c>
      <c r="D18" s="29" t="n">
        <f aca="false">'Debt Schedule'!D17</f>
        <v>46234</v>
      </c>
      <c r="E18" s="14" t="str">
        <f aca="false">'Debt Schedule'!E17</f>
        <v>monthly</v>
      </c>
      <c r="F18" s="16" t="n">
        <f aca="false">'Debt Schedule'!W16</f>
        <v>25</v>
      </c>
      <c r="G18" s="16" t="n">
        <f aca="false">'Debt Schedule'!I17</f>
        <v>12.349254204762</v>
      </c>
      <c r="H18" s="16" t="n">
        <f aca="false">'Debt Schedule'!T17</f>
        <v>3.44444402023494</v>
      </c>
      <c r="I18" s="16" t="n">
        <f aca="false">'Debt Schedule'!K17</f>
        <v>11.90625</v>
      </c>
      <c r="J18" s="16" t="n">
        <f aca="false">'Debt Schedule'!U17</f>
        <v>0.695916666666667</v>
      </c>
      <c r="K18" s="16" t="n">
        <f aca="false">'Debt Schedule'!V17</f>
        <v>1.625</v>
      </c>
      <c r="L18" s="16" t="n">
        <f aca="false">'Debt Schedule'!P17</f>
        <v>5.32235648213959</v>
      </c>
      <c r="M18" s="16" t="n">
        <f aca="false">'Debt Schedule'!Q17</f>
        <v>0</v>
      </c>
      <c r="N18" s="16" t="n">
        <f aca="false">'Debt Schedule'!W17</f>
        <v>25</v>
      </c>
      <c r="O18" s="16" t="n">
        <f aca="false">'Debt Schedule'!R17</f>
        <v>14.6427487179204</v>
      </c>
      <c r="P18" s="16" t="n">
        <f aca="false">'Debt Schedule'!AA17</f>
        <v>279.15725128208</v>
      </c>
      <c r="Q18" s="16" t="n">
        <f aca="false">'Debt Schedule'!AB17</f>
        <v>279.15725128208</v>
      </c>
      <c r="R18" s="19" t="str">
        <f aca="false">IF('Debt Schedule'!AC17&gt;0,"PAYMENT FAILURE",IF(P18&lt;Assumptions!$D$31,"LIQUIDITY BREACH",IF(P18&lt;Assumptions!$D$34,"WARNING","COMPLIANT")))</f>
        <v>COMPLIANT</v>
      </c>
      <c r="S18" s="43" t="n">
        <f aca="false">MAX(0,Assumptions!$D$14-O18)</f>
        <v>285.35725128208</v>
      </c>
      <c r="T18" s="19" t="str">
        <f aca="false">IF(N18&lt;Assumptions!$D$24,"BELOW FLOOR","NO")</f>
        <v>NO</v>
      </c>
      <c r="U18" s="19" t="str">
        <f aca="false">IF(P18&lt;=0.001,"EXHAUSTED","NO")</f>
        <v>NO</v>
      </c>
      <c r="V18" s="19" t="str">
        <f aca="false">'Debt Schedule'!AD17</f>
        <v>AVAILABLE</v>
      </c>
      <c r="W18" s="16" t="n">
        <f aca="false">'Debt Schedule'!AC17</f>
        <v>0</v>
      </c>
      <c r="X18" s="19" t="str">
        <f aca="false">TEXT(D18,"mmm-yy")</f>
        <v>Jul-26</v>
      </c>
    </row>
    <row r="19" customFormat="false" ht="15" hidden="false" customHeight="false" outlineLevel="0" collapsed="false">
      <c r="C19" s="14" t="str">
        <f aca="false">'Debt Schedule'!C18</f>
        <v>P007</v>
      </c>
      <c r="D19" s="29" t="n">
        <f aca="false">'Debt Schedule'!D18</f>
        <v>46265</v>
      </c>
      <c r="E19" s="14" t="str">
        <f aca="false">'Debt Schedule'!E18</f>
        <v>monthly</v>
      </c>
      <c r="F19" s="16" t="n">
        <f aca="false">'Debt Schedule'!W17</f>
        <v>25</v>
      </c>
      <c r="G19" s="16" t="n">
        <f aca="false">'Debt Schedule'!I18</f>
        <v>12.4903775654113</v>
      </c>
      <c r="H19" s="16" t="n">
        <f aca="false">'Debt Schedule'!T18</f>
        <v>3.40791086852392</v>
      </c>
      <c r="I19" s="16" t="n">
        <f aca="false">'Debt Schedule'!K18</f>
        <v>0</v>
      </c>
      <c r="J19" s="16" t="n">
        <f aca="false">'Debt Schedule'!U18</f>
        <v>0.695916666666667</v>
      </c>
      <c r="K19" s="16" t="n">
        <f aca="false">'Debt Schedule'!V18</f>
        <v>1.625</v>
      </c>
      <c r="L19" s="16" t="n">
        <f aca="false">'Debt Schedule'!P18</f>
        <v>0</v>
      </c>
      <c r="M19" s="16" t="n">
        <f aca="false">'Debt Schedule'!Q18</f>
        <v>6.76155003022072</v>
      </c>
      <c r="N19" s="16" t="n">
        <f aca="false">'Debt Schedule'!W18</f>
        <v>25</v>
      </c>
      <c r="O19" s="16" t="n">
        <f aca="false">'Debt Schedule'!R18</f>
        <v>7.88119868769966</v>
      </c>
      <c r="P19" s="16" t="n">
        <f aca="false">'Debt Schedule'!AA18</f>
        <v>285.9188013123</v>
      </c>
      <c r="Q19" s="16" t="n">
        <f aca="false">'Debt Schedule'!AB18</f>
        <v>285.9188013123</v>
      </c>
      <c r="R19" s="19" t="str">
        <f aca="false">IF('Debt Schedule'!AC18&gt;0,"PAYMENT FAILURE",IF(P19&lt;Assumptions!$D$31,"LIQUIDITY BREACH",IF(P19&lt;Assumptions!$D$34,"WARNING","COMPLIANT")))</f>
        <v>COMPLIANT</v>
      </c>
      <c r="S19" s="43" t="n">
        <f aca="false">MAX(0,Assumptions!$D$14-O19)</f>
        <v>292.1188013123</v>
      </c>
      <c r="T19" s="19" t="str">
        <f aca="false">IF(N19&lt;Assumptions!$D$24,"BELOW FLOOR","NO")</f>
        <v>NO</v>
      </c>
      <c r="U19" s="19" t="str">
        <f aca="false">IF(P19&lt;=0.001,"EXHAUSTED","NO")</f>
        <v>NO</v>
      </c>
      <c r="V19" s="19" t="str">
        <f aca="false">'Debt Schedule'!AD18</f>
        <v>AVAILABLE</v>
      </c>
      <c r="W19" s="16" t="n">
        <f aca="false">'Debt Schedule'!AC18</f>
        <v>0</v>
      </c>
      <c r="X19" s="19" t="str">
        <f aca="false">TEXT(D19,"mmm-yy")</f>
        <v>Aug-26</v>
      </c>
    </row>
    <row r="20" customFormat="false" ht="15" hidden="false" customHeight="false" outlineLevel="0" collapsed="false">
      <c r="C20" s="14" t="str">
        <f aca="false">'Debt Schedule'!C19</f>
        <v>P008</v>
      </c>
      <c r="D20" s="29" t="n">
        <f aca="false">'Debt Schedule'!D19</f>
        <v>46295</v>
      </c>
      <c r="E20" s="14" t="str">
        <f aca="false">'Debt Schedule'!E19</f>
        <v>monthly</v>
      </c>
      <c r="F20" s="16" t="n">
        <f aca="false">'Debt Schedule'!W18</f>
        <v>25</v>
      </c>
      <c r="G20" s="16" t="n">
        <f aca="false">'Debt Schedule'!I19</f>
        <v>12.4903775654113</v>
      </c>
      <c r="H20" s="16" t="n">
        <f aca="false">'Debt Schedule'!T19</f>
        <v>3.37078976308232</v>
      </c>
      <c r="I20" s="16" t="n">
        <f aca="false">'Debt Schedule'!K19</f>
        <v>0</v>
      </c>
      <c r="J20" s="16" t="n">
        <f aca="false">'Debt Schedule'!U19</f>
        <v>0.695916666666667</v>
      </c>
      <c r="K20" s="16" t="n">
        <f aca="false">'Debt Schedule'!V19</f>
        <v>1.625</v>
      </c>
      <c r="L20" s="16" t="n">
        <f aca="false">'Debt Schedule'!P19</f>
        <v>0</v>
      </c>
      <c r="M20" s="16" t="n">
        <f aca="false">'Debt Schedule'!Q19</f>
        <v>6.79867113566232</v>
      </c>
      <c r="N20" s="16" t="n">
        <f aca="false">'Debt Schedule'!W19</f>
        <v>25</v>
      </c>
      <c r="O20" s="16" t="n">
        <f aca="false">'Debt Schedule'!R19</f>
        <v>1.08252755203734</v>
      </c>
      <c r="P20" s="16" t="n">
        <f aca="false">'Debt Schedule'!AA19</f>
        <v>292.717472447963</v>
      </c>
      <c r="Q20" s="16" t="n">
        <f aca="false">'Debt Schedule'!AB19</f>
        <v>292.717472447963</v>
      </c>
      <c r="R20" s="19" t="str">
        <f aca="false">IF('Debt Schedule'!AC19&gt;0,"PAYMENT FAILURE",IF(P20&lt;Assumptions!$D$31,"LIQUIDITY BREACH",IF(P20&lt;Assumptions!$D$34,"WARNING","COMPLIANT")))</f>
        <v>COMPLIANT</v>
      </c>
      <c r="S20" s="43" t="n">
        <f aca="false">MAX(0,Assumptions!$D$14-O20)</f>
        <v>298.917472447963</v>
      </c>
      <c r="T20" s="19" t="str">
        <f aca="false">IF(N20&lt;Assumptions!$D$24,"BELOW FLOOR","NO")</f>
        <v>NO</v>
      </c>
      <c r="U20" s="19" t="str">
        <f aca="false">IF(P20&lt;=0.001,"EXHAUSTED","NO")</f>
        <v>NO</v>
      </c>
      <c r="V20" s="19" t="str">
        <f aca="false">'Debt Schedule'!AD19</f>
        <v>AVAILABLE</v>
      </c>
      <c r="W20" s="16" t="n">
        <f aca="false">'Debt Schedule'!AC19</f>
        <v>0</v>
      </c>
      <c r="X20" s="19" t="str">
        <f aca="false">TEXT(D20,"mmm-yy")</f>
        <v>Sep-26</v>
      </c>
    </row>
    <row r="21" customFormat="false" ht="15" hidden="false" customHeight="false" outlineLevel="0" collapsed="false">
      <c r="C21" s="14" t="str">
        <f aca="false">'Debt Schedule'!C20</f>
        <v>P009</v>
      </c>
      <c r="D21" s="29" t="n">
        <f aca="false">'Debt Schedule'!D20</f>
        <v>46326</v>
      </c>
      <c r="E21" s="14" t="str">
        <f aca="false">'Debt Schedule'!E20</f>
        <v>monthly</v>
      </c>
      <c r="F21" s="16" t="n">
        <f aca="false">'Debt Schedule'!W19</f>
        <v>25</v>
      </c>
      <c r="G21" s="16" t="n">
        <f aca="false">'Debt Schedule'!I20</f>
        <v>12.4903775654113</v>
      </c>
      <c r="H21" s="16" t="n">
        <f aca="false">'Debt Schedule'!T20</f>
        <v>3.3334648616952</v>
      </c>
      <c r="I21" s="16" t="n">
        <f aca="false">'Debt Schedule'!K20</f>
        <v>11.90625</v>
      </c>
      <c r="J21" s="16" t="n">
        <f aca="false">'Debt Schedule'!U20</f>
        <v>0.695916666666667</v>
      </c>
      <c r="K21" s="16" t="n">
        <f aca="false">'Debt Schedule'!V20</f>
        <v>1.625</v>
      </c>
      <c r="L21" s="16" t="n">
        <f aca="false">'Debt Schedule'!P20</f>
        <v>5.07025396295057</v>
      </c>
      <c r="M21" s="16" t="n">
        <f aca="false">'Debt Schedule'!Q20</f>
        <v>0</v>
      </c>
      <c r="N21" s="16" t="n">
        <f aca="false">'Debt Schedule'!W20</f>
        <v>25</v>
      </c>
      <c r="O21" s="16" t="n">
        <f aca="false">'Debt Schedule'!R20</f>
        <v>6.15278151498791</v>
      </c>
      <c r="P21" s="16" t="n">
        <f aca="false">'Debt Schedule'!AA20</f>
        <v>287.647218485012</v>
      </c>
      <c r="Q21" s="16" t="n">
        <f aca="false">'Debt Schedule'!AB20</f>
        <v>287.647218485012</v>
      </c>
      <c r="R21" s="19" t="str">
        <f aca="false">IF('Debt Schedule'!AC20&gt;0,"PAYMENT FAILURE",IF(P21&lt;Assumptions!$D$31,"LIQUIDITY BREACH",IF(P21&lt;Assumptions!$D$34,"WARNING","COMPLIANT")))</f>
        <v>COMPLIANT</v>
      </c>
      <c r="S21" s="43" t="n">
        <f aca="false">MAX(0,Assumptions!$D$14-O21)</f>
        <v>293.847218485012</v>
      </c>
      <c r="T21" s="19" t="str">
        <f aca="false">IF(N21&lt;Assumptions!$D$24,"BELOW FLOOR","NO")</f>
        <v>NO</v>
      </c>
      <c r="U21" s="19" t="str">
        <f aca="false">IF(P21&lt;=0.001,"EXHAUSTED","NO")</f>
        <v>NO</v>
      </c>
      <c r="V21" s="19" t="str">
        <f aca="false">'Debt Schedule'!AD20</f>
        <v>AVAILABLE</v>
      </c>
      <c r="W21" s="16" t="n">
        <f aca="false">'Debt Schedule'!AC20</f>
        <v>0</v>
      </c>
      <c r="X21" s="19" t="str">
        <f aca="false">TEXT(D21,"mmm-yy")</f>
        <v>Oct-26</v>
      </c>
    </row>
    <row r="22" customFormat="false" ht="15" hidden="false" customHeight="false" outlineLevel="0" collapsed="false">
      <c r="C22" s="14" t="str">
        <f aca="false">'Debt Schedule'!C21</f>
        <v>P010</v>
      </c>
      <c r="D22" s="29" t="n">
        <f aca="false">'Debt Schedule'!D21</f>
        <v>46356</v>
      </c>
      <c r="E22" s="14" t="str">
        <f aca="false">'Debt Schedule'!E21</f>
        <v>monthly</v>
      </c>
      <c r="F22" s="16" t="n">
        <f aca="false">'Debt Schedule'!W20</f>
        <v>25</v>
      </c>
      <c r="G22" s="16" t="n">
        <f aca="false">'Debt Schedule'!I21</f>
        <v>5.21613012230203</v>
      </c>
      <c r="H22" s="16" t="n">
        <f aca="false">'Debt Schedule'!T21</f>
        <v>3.31582975967681</v>
      </c>
      <c r="I22" s="16" t="n">
        <f aca="false">'Debt Schedule'!K21</f>
        <v>0</v>
      </c>
      <c r="J22" s="16" t="n">
        <f aca="false">'Debt Schedule'!U21</f>
        <v>0.66925</v>
      </c>
      <c r="K22" s="16" t="n">
        <f aca="false">'Debt Schedule'!V21</f>
        <v>1.625</v>
      </c>
      <c r="L22" s="16" t="n">
        <f aca="false">'Debt Schedule'!P21</f>
        <v>0.393949637374784</v>
      </c>
      <c r="M22" s="16" t="n">
        <f aca="false">'Debt Schedule'!Q21</f>
        <v>0</v>
      </c>
      <c r="N22" s="16" t="n">
        <f aca="false">'Debt Schedule'!W21</f>
        <v>25</v>
      </c>
      <c r="O22" s="16" t="n">
        <f aca="false">'Debt Schedule'!R21</f>
        <v>6.54673115236269</v>
      </c>
      <c r="P22" s="16" t="n">
        <f aca="false">'Debt Schedule'!AA21</f>
        <v>287.253268847637</v>
      </c>
      <c r="Q22" s="16" t="n">
        <f aca="false">'Debt Schedule'!AB21</f>
        <v>287.253268847637</v>
      </c>
      <c r="R22" s="19" t="str">
        <f aca="false">IF('Debt Schedule'!AC21&gt;0,"PAYMENT FAILURE",IF(P22&lt;Assumptions!$D$31,"LIQUIDITY BREACH",IF(P22&lt;Assumptions!$D$34,"WARNING","COMPLIANT")))</f>
        <v>COMPLIANT</v>
      </c>
      <c r="S22" s="43" t="n">
        <f aca="false">MAX(0,Assumptions!$D$14-O22)</f>
        <v>293.453268847637</v>
      </c>
      <c r="T22" s="19" t="str">
        <f aca="false">IF(N22&lt;Assumptions!$D$24,"BELOW FLOOR","NO")</f>
        <v>NO</v>
      </c>
      <c r="U22" s="19" t="str">
        <f aca="false">IF(P22&lt;=0.001,"EXHAUSTED","NO")</f>
        <v>NO</v>
      </c>
      <c r="V22" s="19" t="str">
        <f aca="false">'Debt Schedule'!AD21</f>
        <v>AVAILABLE</v>
      </c>
      <c r="W22" s="16" t="n">
        <f aca="false">'Debt Schedule'!AC21</f>
        <v>0</v>
      </c>
      <c r="X22" s="19" t="str">
        <f aca="false">TEXT(D22,"mmm-yy")</f>
        <v>Nov-26</v>
      </c>
    </row>
    <row r="23" customFormat="false" ht="15" hidden="false" customHeight="false" outlineLevel="0" collapsed="false">
      <c r="C23" s="14" t="str">
        <f aca="false">'Debt Schedule'!C22</f>
        <v>P011</v>
      </c>
      <c r="D23" s="29" t="n">
        <f aca="false">'Debt Schedule'!D22</f>
        <v>46387</v>
      </c>
      <c r="E23" s="14" t="str">
        <f aca="false">'Debt Schedule'!E22</f>
        <v>monthly</v>
      </c>
      <c r="F23" s="16" t="n">
        <f aca="false">'Debt Schedule'!W21</f>
        <v>25</v>
      </c>
      <c r="G23" s="16" t="n">
        <f aca="false">'Debt Schedule'!I22</f>
        <v>5.21613012230203</v>
      </c>
      <c r="H23" s="16" t="n">
        <f aca="false">'Debt Schedule'!T22</f>
        <v>3.31799255459252</v>
      </c>
      <c r="I23" s="16" t="n">
        <f aca="false">'Debt Schedule'!K22</f>
        <v>0</v>
      </c>
      <c r="J23" s="16" t="n">
        <f aca="false">'Debt Schedule'!U22</f>
        <v>0.66925</v>
      </c>
      <c r="K23" s="16" t="n">
        <f aca="false">'Debt Schedule'!V22</f>
        <v>1.625</v>
      </c>
      <c r="L23" s="16" t="n">
        <f aca="false">'Debt Schedule'!P22</f>
        <v>0.396112432290492</v>
      </c>
      <c r="M23" s="16" t="n">
        <f aca="false">'Debt Schedule'!Q22</f>
        <v>0</v>
      </c>
      <c r="N23" s="16" t="n">
        <f aca="false">'Debt Schedule'!W22</f>
        <v>25</v>
      </c>
      <c r="O23" s="16" t="n">
        <f aca="false">'Debt Schedule'!R22</f>
        <v>6.94284358465319</v>
      </c>
      <c r="P23" s="16" t="n">
        <f aca="false">'Debt Schedule'!AA22</f>
        <v>286.857156415347</v>
      </c>
      <c r="Q23" s="16" t="n">
        <f aca="false">'Debt Schedule'!AB22</f>
        <v>286.857156415347</v>
      </c>
      <c r="R23" s="19" t="str">
        <f aca="false">IF('Debt Schedule'!AC22&gt;0,"PAYMENT FAILURE",IF(P23&lt;Assumptions!$D$31,"LIQUIDITY BREACH",IF(P23&lt;Assumptions!$D$34,"WARNING","COMPLIANT")))</f>
        <v>COMPLIANT</v>
      </c>
      <c r="S23" s="43" t="n">
        <f aca="false">MAX(0,Assumptions!$D$14-O23)</f>
        <v>293.057156415347</v>
      </c>
      <c r="T23" s="19" t="str">
        <f aca="false">IF(N23&lt;Assumptions!$D$24,"BELOW FLOOR","NO")</f>
        <v>NO</v>
      </c>
      <c r="U23" s="19" t="str">
        <f aca="false">IF(P23&lt;=0.001,"EXHAUSTED","NO")</f>
        <v>NO</v>
      </c>
      <c r="V23" s="19" t="str">
        <f aca="false">'Debt Schedule'!AD22</f>
        <v>AVAILABLE</v>
      </c>
      <c r="W23" s="16" t="n">
        <f aca="false">'Debt Schedule'!AC22</f>
        <v>0</v>
      </c>
      <c r="X23" s="19" t="str">
        <f aca="false">TEXT(D23,"mmm-yy")</f>
        <v>Dec-26</v>
      </c>
    </row>
    <row r="24" customFormat="false" ht="15" hidden="false" customHeight="false" outlineLevel="0" collapsed="false">
      <c r="C24" s="14" t="str">
        <f aca="false">'Debt Schedule'!C23</f>
        <v>P012</v>
      </c>
      <c r="D24" s="29" t="n">
        <f aca="false">'Debt Schedule'!D23</f>
        <v>46418</v>
      </c>
      <c r="E24" s="14" t="str">
        <f aca="false">'Debt Schedule'!E23</f>
        <v>monthly</v>
      </c>
      <c r="F24" s="16" t="n">
        <f aca="false">'Debt Schedule'!W22</f>
        <v>25</v>
      </c>
      <c r="G24" s="16" t="n">
        <f aca="false">'Debt Schedule'!I23</f>
        <v>5.21613012230203</v>
      </c>
      <c r="H24" s="16" t="n">
        <f aca="false">'Debt Schedule'!T23</f>
        <v>3.32016722331311</v>
      </c>
      <c r="I24" s="16" t="n">
        <f aca="false">'Debt Schedule'!K23</f>
        <v>11.90625</v>
      </c>
      <c r="J24" s="16" t="n">
        <f aca="false">'Debt Schedule'!U23</f>
        <v>0.66925</v>
      </c>
      <c r="K24" s="16" t="n">
        <f aca="false">'Debt Schedule'!V23</f>
        <v>1.625</v>
      </c>
      <c r="L24" s="16" t="n">
        <f aca="false">'Debt Schedule'!P23</f>
        <v>12.3045371010111</v>
      </c>
      <c r="M24" s="16" t="n">
        <f aca="false">'Debt Schedule'!Q23</f>
        <v>0</v>
      </c>
      <c r="N24" s="16" t="n">
        <f aca="false">'Debt Schedule'!W23</f>
        <v>25</v>
      </c>
      <c r="O24" s="16" t="n">
        <f aca="false">'Debt Schedule'!R23</f>
        <v>19.2473806856643</v>
      </c>
      <c r="P24" s="16" t="n">
        <f aca="false">'Debt Schedule'!AA23</f>
        <v>274.552619314336</v>
      </c>
      <c r="Q24" s="16" t="n">
        <f aca="false">'Debt Schedule'!AB23</f>
        <v>274.552619314336</v>
      </c>
      <c r="R24" s="19" t="str">
        <f aca="false">IF('Debt Schedule'!AC23&gt;0,"PAYMENT FAILURE",IF(P24&lt;Assumptions!$D$31,"LIQUIDITY BREACH",IF(P24&lt;Assumptions!$D$34,"WARNING","COMPLIANT")))</f>
        <v>COMPLIANT</v>
      </c>
      <c r="S24" s="43" t="n">
        <f aca="false">MAX(0,Assumptions!$D$14-O24)</f>
        <v>280.752619314336</v>
      </c>
      <c r="T24" s="19" t="str">
        <f aca="false">IF(N24&lt;Assumptions!$D$24,"BELOW FLOOR","NO")</f>
        <v>NO</v>
      </c>
      <c r="U24" s="19" t="str">
        <f aca="false">IF(P24&lt;=0.001,"EXHAUSTED","NO")</f>
        <v>NO</v>
      </c>
      <c r="V24" s="19" t="str">
        <f aca="false">'Debt Schedule'!AD23</f>
        <v>AVAILABLE</v>
      </c>
      <c r="W24" s="16" t="n">
        <f aca="false">'Debt Schedule'!AC23</f>
        <v>0</v>
      </c>
      <c r="X24" s="19" t="str">
        <f aca="false">TEXT(D24,"mmm-yy")</f>
        <v>Jan-27</v>
      </c>
    </row>
    <row r="25" customFormat="false" ht="15" hidden="false" customHeight="false" outlineLevel="0" collapsed="false">
      <c r="C25" s="14" t="str">
        <f aca="false">'Debt Schedule'!C24</f>
        <v>P013</v>
      </c>
      <c r="D25" s="29" t="n">
        <f aca="false">'Debt Schedule'!D24</f>
        <v>46446</v>
      </c>
      <c r="E25" s="14" t="str">
        <f aca="false">'Debt Schedule'!E24</f>
        <v>monthly</v>
      </c>
      <c r="F25" s="16" t="n">
        <f aca="false">'Debt Schedule'!W23</f>
        <v>25</v>
      </c>
      <c r="G25" s="16" t="n">
        <f aca="false">'Debt Schedule'!I24</f>
        <v>12.6409737061808</v>
      </c>
      <c r="H25" s="16" t="n">
        <f aca="false">'Debt Schedule'!T24</f>
        <v>3.30197252790456</v>
      </c>
      <c r="I25" s="16" t="n">
        <f aca="false">'Debt Schedule'!K24</f>
        <v>0</v>
      </c>
      <c r="J25" s="16" t="n">
        <f aca="false">'Debt Schedule'!U24</f>
        <v>0.66925</v>
      </c>
      <c r="K25" s="16" t="n">
        <f aca="false">'Debt Schedule'!V24</f>
        <v>1.625</v>
      </c>
      <c r="L25" s="16" t="n">
        <f aca="false">'Debt Schedule'!P24</f>
        <v>0</v>
      </c>
      <c r="M25" s="16" t="n">
        <f aca="false">'Debt Schedule'!Q24</f>
        <v>7.04475117827626</v>
      </c>
      <c r="N25" s="16" t="n">
        <f aca="false">'Debt Schedule'!W24</f>
        <v>25</v>
      </c>
      <c r="O25" s="16" t="n">
        <f aca="false">'Debt Schedule'!R24</f>
        <v>12.202629507388</v>
      </c>
      <c r="P25" s="16" t="n">
        <f aca="false">'Debt Schedule'!AA24</f>
        <v>281.597370492612</v>
      </c>
      <c r="Q25" s="16" t="n">
        <f aca="false">'Debt Schedule'!AB24</f>
        <v>281.597370492612</v>
      </c>
      <c r="R25" s="19" t="str">
        <f aca="false">IF('Debt Schedule'!AC24&gt;0,"PAYMENT FAILURE",IF(P25&lt;Assumptions!$D$31,"LIQUIDITY BREACH",IF(P25&lt;Assumptions!$D$34,"WARNING","COMPLIANT")))</f>
        <v>COMPLIANT</v>
      </c>
      <c r="S25" s="43" t="n">
        <f aca="false">MAX(0,Assumptions!$D$14-O25)</f>
        <v>287.797370492612</v>
      </c>
      <c r="T25" s="19" t="str">
        <f aca="false">IF(N25&lt;Assumptions!$D$24,"BELOW FLOOR","NO")</f>
        <v>NO</v>
      </c>
      <c r="U25" s="19" t="str">
        <f aca="false">IF(P25&lt;=0.001,"EXHAUSTED","NO")</f>
        <v>NO</v>
      </c>
      <c r="V25" s="19" t="str">
        <f aca="false">'Debt Schedule'!AD24</f>
        <v>AVAILABLE</v>
      </c>
      <c r="W25" s="16" t="n">
        <f aca="false">'Debt Schedule'!AC24</f>
        <v>0</v>
      </c>
      <c r="X25" s="19" t="str">
        <f aca="false">TEXT(D25,"mmm-yy")</f>
        <v>Feb-27</v>
      </c>
    </row>
    <row r="26" customFormat="false" ht="15" hidden="false" customHeight="false" outlineLevel="0" collapsed="false">
      <c r="C26" s="14" t="str">
        <f aca="false">'Debt Schedule'!C25</f>
        <v>P014</v>
      </c>
      <c r="D26" s="29" t="n">
        <f aca="false">'Debt Schedule'!D25</f>
        <v>46477</v>
      </c>
      <c r="E26" s="14" t="str">
        <f aca="false">'Debt Schedule'!E25</f>
        <v>monthly</v>
      </c>
      <c r="F26" s="16" t="n">
        <f aca="false">'Debt Schedule'!W24</f>
        <v>25</v>
      </c>
      <c r="G26" s="16" t="n">
        <f aca="false">'Debt Schedule'!I25</f>
        <v>12.6409737061808</v>
      </c>
      <c r="H26" s="16" t="n">
        <f aca="false">'Debt Schedule'!T25</f>
        <v>3.26329663996026</v>
      </c>
      <c r="I26" s="16" t="n">
        <f aca="false">'Debt Schedule'!K25</f>
        <v>0</v>
      </c>
      <c r="J26" s="16" t="n">
        <f aca="false">'Debt Schedule'!U25</f>
        <v>0.66925</v>
      </c>
      <c r="K26" s="16" t="n">
        <f aca="false">'Debt Schedule'!V25</f>
        <v>1.625</v>
      </c>
      <c r="L26" s="16" t="n">
        <f aca="false">'Debt Schedule'!P25</f>
        <v>0</v>
      </c>
      <c r="M26" s="16" t="n">
        <f aca="false">'Debt Schedule'!Q25</f>
        <v>7.08342706622056</v>
      </c>
      <c r="N26" s="16" t="n">
        <f aca="false">'Debt Schedule'!W25</f>
        <v>25</v>
      </c>
      <c r="O26" s="16" t="n">
        <f aca="false">'Debt Schedule'!R25</f>
        <v>5.11920244116747</v>
      </c>
      <c r="P26" s="16" t="n">
        <f aca="false">'Debt Schedule'!AA25</f>
        <v>288.680797558833</v>
      </c>
      <c r="Q26" s="16" t="n">
        <f aca="false">'Debt Schedule'!AB25</f>
        <v>288.680797558833</v>
      </c>
      <c r="R26" s="19" t="str">
        <f aca="false">IF('Debt Schedule'!AC25&gt;0,"PAYMENT FAILURE",IF(P26&lt;Assumptions!$D$31,"LIQUIDITY BREACH",IF(P26&lt;Assumptions!$D$34,"WARNING","COMPLIANT")))</f>
        <v>COMPLIANT</v>
      </c>
      <c r="S26" s="43" t="n">
        <f aca="false">MAX(0,Assumptions!$D$14-O26)</f>
        <v>294.880797558833</v>
      </c>
      <c r="T26" s="19" t="str">
        <f aca="false">IF(N26&lt;Assumptions!$D$24,"BELOW FLOOR","NO")</f>
        <v>NO</v>
      </c>
      <c r="U26" s="19" t="str">
        <f aca="false">IF(P26&lt;=0.001,"EXHAUSTED","NO")</f>
        <v>NO</v>
      </c>
      <c r="V26" s="19" t="str">
        <f aca="false">'Debt Schedule'!AD25</f>
        <v>AVAILABLE</v>
      </c>
      <c r="W26" s="16" t="n">
        <f aca="false">'Debt Schedule'!AC25</f>
        <v>0</v>
      </c>
      <c r="X26" s="19" t="str">
        <f aca="false">TEXT(D26,"mmm-yy")</f>
        <v>Mar-27</v>
      </c>
    </row>
    <row r="27" customFormat="false" ht="15" hidden="false" customHeight="false" outlineLevel="0" collapsed="false">
      <c r="C27" s="14" t="str">
        <f aca="false">'Debt Schedule'!C26</f>
        <v>P015</v>
      </c>
      <c r="D27" s="29" t="n">
        <f aca="false">'Debt Schedule'!D26</f>
        <v>46507</v>
      </c>
      <c r="E27" s="14" t="str">
        <f aca="false">'Debt Schedule'!E26</f>
        <v>monthly</v>
      </c>
      <c r="F27" s="16" t="n">
        <f aca="false">'Debt Schedule'!W25</f>
        <v>25</v>
      </c>
      <c r="G27" s="16" t="n">
        <f aca="false">'Debt Schedule'!I26</f>
        <v>12.6409737061808</v>
      </c>
      <c r="H27" s="16" t="n">
        <f aca="false">'Debt Schedule'!T26</f>
        <v>3.22440842026948</v>
      </c>
      <c r="I27" s="16" t="n">
        <f aca="false">'Debt Schedule'!K26</f>
        <v>11.90625</v>
      </c>
      <c r="J27" s="16" t="n">
        <f aca="false">'Debt Schedule'!U26</f>
        <v>0.66925</v>
      </c>
      <c r="K27" s="16" t="n">
        <f aca="false">'Debt Schedule'!V26</f>
        <v>1.625</v>
      </c>
      <c r="L27" s="16" t="n">
        <f aca="false">'Debt Schedule'!P26</f>
        <v>4.78393471408866</v>
      </c>
      <c r="M27" s="16" t="n">
        <f aca="false">'Debt Schedule'!Q26</f>
        <v>0</v>
      </c>
      <c r="N27" s="16" t="n">
        <f aca="false">'Debt Schedule'!W26</f>
        <v>25</v>
      </c>
      <c r="O27" s="16" t="n">
        <f aca="false">'Debt Schedule'!R26</f>
        <v>9.90313715525613</v>
      </c>
      <c r="P27" s="16" t="n">
        <f aca="false">'Debt Schedule'!AA26</f>
        <v>283.896862844744</v>
      </c>
      <c r="Q27" s="16" t="n">
        <f aca="false">'Debt Schedule'!AB26</f>
        <v>283.896862844744</v>
      </c>
      <c r="R27" s="19" t="str">
        <f aca="false">IF('Debt Schedule'!AC26&gt;0,"PAYMENT FAILURE",IF(P27&lt;Assumptions!$D$31,"LIQUIDITY BREACH",IF(P27&lt;Assumptions!$D$34,"WARNING","COMPLIANT")))</f>
        <v>COMPLIANT</v>
      </c>
      <c r="S27" s="43" t="n">
        <f aca="false">MAX(0,Assumptions!$D$14-O27)</f>
        <v>290.096862844744</v>
      </c>
      <c r="T27" s="19" t="str">
        <f aca="false">IF(N27&lt;Assumptions!$D$24,"BELOW FLOOR","NO")</f>
        <v>NO</v>
      </c>
      <c r="U27" s="19" t="str">
        <f aca="false">IF(P27&lt;=0.001,"EXHAUSTED","NO")</f>
        <v>NO</v>
      </c>
      <c r="V27" s="19" t="str">
        <f aca="false">'Debt Schedule'!AD26</f>
        <v>AVAILABLE</v>
      </c>
      <c r="W27" s="16" t="n">
        <f aca="false">'Debt Schedule'!AC26</f>
        <v>0</v>
      </c>
      <c r="X27" s="19" t="str">
        <f aca="false">TEXT(D27,"mmm-yy")</f>
        <v>Apr-27</v>
      </c>
    </row>
    <row r="28" customFormat="false" ht="15" hidden="false" customHeight="false" outlineLevel="0" collapsed="false">
      <c r="C28" s="14" t="str">
        <f aca="false">'Debt Schedule'!C27</f>
        <v>P016</v>
      </c>
      <c r="D28" s="29" t="n">
        <f aca="false">'Debt Schedule'!D27</f>
        <v>46538</v>
      </c>
      <c r="E28" s="14" t="str">
        <f aca="false">'Debt Schedule'!E27</f>
        <v>monthly</v>
      </c>
      <c r="F28" s="16" t="n">
        <f aca="false">'Debt Schedule'!W26</f>
        <v>25</v>
      </c>
      <c r="G28" s="16" t="n">
        <f aca="false">'Debt Schedule'!I27</f>
        <v>12.3766239881776</v>
      </c>
      <c r="H28" s="16" t="n">
        <f aca="false">'Debt Schedule'!T27</f>
        <v>3.18603234693318</v>
      </c>
      <c r="I28" s="16" t="n">
        <f aca="false">'Debt Schedule'!K27</f>
        <v>0</v>
      </c>
      <c r="J28" s="16" t="n">
        <f aca="false">'Debt Schedule'!U27</f>
        <v>0.66925</v>
      </c>
      <c r="K28" s="16" t="n">
        <f aca="false">'Debt Schedule'!V27</f>
        <v>1.625</v>
      </c>
      <c r="L28" s="16" t="n">
        <f aca="false">'Debt Schedule'!P27</f>
        <v>0</v>
      </c>
      <c r="M28" s="16" t="n">
        <f aca="false">'Debt Schedule'!Q27</f>
        <v>6.89634164124446</v>
      </c>
      <c r="N28" s="16" t="n">
        <f aca="false">'Debt Schedule'!W27</f>
        <v>25</v>
      </c>
      <c r="O28" s="16" t="n">
        <f aca="false">'Debt Schedule'!R27</f>
        <v>3.00679551401167</v>
      </c>
      <c r="P28" s="16" t="n">
        <f aca="false">'Debt Schedule'!AA27</f>
        <v>290.793204485988</v>
      </c>
      <c r="Q28" s="16" t="n">
        <f aca="false">'Debt Schedule'!AB27</f>
        <v>290.793204485988</v>
      </c>
      <c r="R28" s="19" t="str">
        <f aca="false">IF('Debt Schedule'!AC27&gt;0,"PAYMENT FAILURE",IF(P28&lt;Assumptions!$D$31,"LIQUIDITY BREACH",IF(P28&lt;Assumptions!$D$34,"WARNING","COMPLIANT")))</f>
        <v>COMPLIANT</v>
      </c>
      <c r="S28" s="43" t="n">
        <f aca="false">MAX(0,Assumptions!$D$14-O28)</f>
        <v>296.993204485988</v>
      </c>
      <c r="T28" s="19" t="str">
        <f aca="false">IF(N28&lt;Assumptions!$D$24,"BELOW FLOOR","NO")</f>
        <v>NO</v>
      </c>
      <c r="U28" s="19" t="str">
        <f aca="false">IF(P28&lt;=0.001,"EXHAUSTED","NO")</f>
        <v>NO</v>
      </c>
      <c r="V28" s="19" t="str">
        <f aca="false">'Debt Schedule'!AD27</f>
        <v>AVAILABLE</v>
      </c>
      <c r="W28" s="16" t="n">
        <f aca="false">'Debt Schedule'!AC27</f>
        <v>0</v>
      </c>
      <c r="X28" s="19" t="str">
        <f aca="false">TEXT(D28,"mmm-yy")</f>
        <v>May-27</v>
      </c>
    </row>
    <row r="29" customFormat="false" ht="15" hidden="false" customHeight="false" outlineLevel="0" collapsed="false">
      <c r="C29" s="14" t="str">
        <f aca="false">'Debt Schedule'!C28</f>
        <v>P017</v>
      </c>
      <c r="D29" s="29" t="n">
        <f aca="false">'Debt Schedule'!D28</f>
        <v>46568</v>
      </c>
      <c r="E29" s="14" t="str">
        <f aca="false">'Debt Schedule'!E28</f>
        <v>monthly</v>
      </c>
      <c r="F29" s="16" t="n">
        <f aca="false">'Debt Schedule'!W27</f>
        <v>25</v>
      </c>
      <c r="G29" s="16" t="n">
        <f aca="false">'Debt Schedule'!I28</f>
        <v>12.3766239881776</v>
      </c>
      <c r="H29" s="16" t="n">
        <f aca="false">'Debt Schedule'!T28</f>
        <v>3.15892250896961</v>
      </c>
      <c r="I29" s="16" t="n">
        <f aca="false">'Debt Schedule'!K28</f>
        <v>0</v>
      </c>
      <c r="J29" s="16" t="n">
        <f aca="false">'Debt Schedule'!U28</f>
        <v>0.66925</v>
      </c>
      <c r="K29" s="16" t="n">
        <f aca="false">'Debt Schedule'!V28</f>
        <v>1.625</v>
      </c>
      <c r="L29" s="16" t="n">
        <f aca="false">'Debt Schedule'!P28</f>
        <v>0</v>
      </c>
      <c r="M29" s="16" t="n">
        <f aca="false">'Debt Schedule'!Q28</f>
        <v>3.00679551401167</v>
      </c>
      <c r="N29" s="16" t="n">
        <f aca="false">'Debt Schedule'!W28</f>
        <v>28.9166559651964</v>
      </c>
      <c r="O29" s="16" t="n">
        <f aca="false">'Debt Schedule'!R28</f>
        <v>0</v>
      </c>
      <c r="P29" s="16" t="n">
        <f aca="false">'Debt Schedule'!AA28</f>
        <v>293.8</v>
      </c>
      <c r="Q29" s="16" t="n">
        <f aca="false">'Debt Schedule'!AB28</f>
        <v>297.716655965196</v>
      </c>
      <c r="R29" s="19" t="str">
        <f aca="false">IF('Debt Schedule'!AC28&gt;0,"PAYMENT FAILURE",IF(P29&lt;Assumptions!$D$31,"LIQUIDITY BREACH",IF(P29&lt;Assumptions!$D$34,"WARNING","COMPLIANT")))</f>
        <v>COMPLIANT</v>
      </c>
      <c r="S29" s="43" t="n">
        <f aca="false">MAX(0,Assumptions!$D$14-O29)</f>
        <v>300</v>
      </c>
      <c r="T29" s="19" t="str">
        <f aca="false">IF(N29&lt;Assumptions!$D$24,"BELOW FLOOR","NO")</f>
        <v>NO</v>
      </c>
      <c r="U29" s="19" t="str">
        <f aca="false">IF(P29&lt;=0.001,"EXHAUSTED","NO")</f>
        <v>NO</v>
      </c>
      <c r="V29" s="19" t="str">
        <f aca="false">'Debt Schedule'!AD28</f>
        <v>AVAILABLE</v>
      </c>
      <c r="W29" s="16" t="n">
        <f aca="false">'Debt Schedule'!AC28</f>
        <v>0</v>
      </c>
      <c r="X29" s="19" t="str">
        <f aca="false">TEXT(D29,"mmm-yy")</f>
        <v>Jun-27</v>
      </c>
    </row>
    <row r="30" customFormat="false" ht="15" hidden="false" customHeight="false" outlineLevel="0" collapsed="false">
      <c r="C30" s="14" t="str">
        <f aca="false">'Debt Schedule'!C29</f>
        <v>P018</v>
      </c>
      <c r="D30" s="29" t="n">
        <f aca="false">'Debt Schedule'!D29</f>
        <v>46599</v>
      </c>
      <c r="E30" s="14" t="str">
        <f aca="false">'Debt Schedule'!E29</f>
        <v>monthly</v>
      </c>
      <c r="F30" s="16" t="n">
        <f aca="false">'Debt Schedule'!W28</f>
        <v>28.9166559651964</v>
      </c>
      <c r="G30" s="16" t="n">
        <f aca="false">'Debt Schedule'!I29</f>
        <v>12.3766239881776</v>
      </c>
      <c r="H30" s="16" t="n">
        <f aca="false">'Debt Schedule'!T29</f>
        <v>3.12091255988517</v>
      </c>
      <c r="I30" s="16" t="n">
        <f aca="false">'Debt Schedule'!K29</f>
        <v>11.90625</v>
      </c>
      <c r="J30" s="16" t="n">
        <f aca="false">'Debt Schedule'!U29</f>
        <v>0.66925</v>
      </c>
      <c r="K30" s="16" t="n">
        <f aca="false">'Debt Schedule'!V29</f>
        <v>1.625</v>
      </c>
      <c r="L30" s="16" t="n">
        <f aca="false">'Debt Schedule'!P29</f>
        <v>1.02813260651117</v>
      </c>
      <c r="M30" s="16" t="n">
        <f aca="false">'Debt Schedule'!Q29</f>
        <v>0</v>
      </c>
      <c r="N30" s="16" t="n">
        <f aca="false">'Debt Schedule'!W29</f>
        <v>25</v>
      </c>
      <c r="O30" s="16" t="n">
        <f aca="false">'Debt Schedule'!R29</f>
        <v>1.02813260651117</v>
      </c>
      <c r="P30" s="16" t="n">
        <f aca="false">'Debt Schedule'!AA29</f>
        <v>292.771867393489</v>
      </c>
      <c r="Q30" s="16" t="n">
        <f aca="false">'Debt Schedule'!AB29</f>
        <v>292.771867393489</v>
      </c>
      <c r="R30" s="19" t="str">
        <f aca="false">IF('Debt Schedule'!AC29&gt;0,"PAYMENT FAILURE",IF(P30&lt;Assumptions!$D$31,"LIQUIDITY BREACH",IF(P30&lt;Assumptions!$D$34,"WARNING","COMPLIANT")))</f>
        <v>COMPLIANT</v>
      </c>
      <c r="S30" s="43" t="n">
        <f aca="false">MAX(0,Assumptions!$D$14-O30)</f>
        <v>298.971867393489</v>
      </c>
      <c r="T30" s="19" t="str">
        <f aca="false">IF(N30&lt;Assumptions!$D$24,"BELOW FLOOR","NO")</f>
        <v>NO</v>
      </c>
      <c r="U30" s="19" t="str">
        <f aca="false">IF(P30&lt;=0.001,"EXHAUSTED","NO")</f>
        <v>NO</v>
      </c>
      <c r="V30" s="19" t="str">
        <f aca="false">'Debt Schedule'!AD29</f>
        <v>AVAILABLE</v>
      </c>
      <c r="W30" s="16" t="n">
        <f aca="false">'Debt Schedule'!AC29</f>
        <v>0</v>
      </c>
      <c r="X30" s="19" t="str">
        <f aca="false">TEXT(D30,"mmm-yy")</f>
        <v>Jul-27</v>
      </c>
    </row>
    <row r="31" customFormat="false" ht="15" hidden="false" customHeight="false" outlineLevel="0" collapsed="false">
      <c r="C31" s="14" t="str">
        <f aca="false">'Debt Schedule'!C30</f>
        <v>P019</v>
      </c>
      <c r="D31" s="29" t="n">
        <f aca="false">'Debt Schedule'!D30</f>
        <v>46630</v>
      </c>
      <c r="E31" s="14" t="str">
        <f aca="false">'Debt Schedule'!E30</f>
        <v>monthly</v>
      </c>
      <c r="F31" s="16" t="n">
        <f aca="false">'Debt Schedule'!W29</f>
        <v>25</v>
      </c>
      <c r="G31" s="16" t="n">
        <f aca="false">'Debt Schedule'!I30</f>
        <v>12.5174405308409</v>
      </c>
      <c r="H31" s="16" t="n">
        <f aca="false">'Debt Schedule'!T30</f>
        <v>3.08831920051032</v>
      </c>
      <c r="I31" s="16" t="n">
        <f aca="false">'Debt Schedule'!K30</f>
        <v>0</v>
      </c>
      <c r="J31" s="16" t="n">
        <f aca="false">'Debt Schedule'!U30</f>
        <v>0.66925</v>
      </c>
      <c r="K31" s="16" t="n">
        <f aca="false">'Debt Schedule'!V30</f>
        <v>1.625</v>
      </c>
      <c r="L31" s="16" t="n">
        <f aca="false">'Debt Schedule'!P30</f>
        <v>0</v>
      </c>
      <c r="M31" s="16" t="n">
        <f aca="false">'Debt Schedule'!Q30</f>
        <v>1.02813260651117</v>
      </c>
      <c r="N31" s="16" t="n">
        <f aca="false">'Debt Schedule'!W30</f>
        <v>31.1067387238194</v>
      </c>
      <c r="O31" s="16" t="n">
        <f aca="false">'Debt Schedule'!R30</f>
        <v>0</v>
      </c>
      <c r="P31" s="16" t="n">
        <f aca="false">'Debt Schedule'!AA30</f>
        <v>293.8</v>
      </c>
      <c r="Q31" s="16" t="n">
        <f aca="false">'Debt Schedule'!AB30</f>
        <v>299.906738723819</v>
      </c>
      <c r="R31" s="19" t="str">
        <f aca="false">IF('Debt Schedule'!AC30&gt;0,"PAYMENT FAILURE",IF(P31&lt;Assumptions!$D$31,"LIQUIDITY BREACH",IF(P31&lt;Assumptions!$D$34,"WARNING","COMPLIANT")))</f>
        <v>COMPLIANT</v>
      </c>
      <c r="S31" s="43" t="n">
        <f aca="false">MAX(0,Assumptions!$D$14-O31)</f>
        <v>300</v>
      </c>
      <c r="T31" s="19" t="str">
        <f aca="false">IF(N31&lt;Assumptions!$D$24,"BELOW FLOOR","NO")</f>
        <v>NO</v>
      </c>
      <c r="U31" s="19" t="str">
        <f aca="false">IF(P31&lt;=0.001,"EXHAUSTED","NO")</f>
        <v>NO</v>
      </c>
      <c r="V31" s="19" t="str">
        <f aca="false">'Debt Schedule'!AD30</f>
        <v>AVAILABLE</v>
      </c>
      <c r="W31" s="16" t="n">
        <f aca="false">'Debt Schedule'!AC30</f>
        <v>0</v>
      </c>
      <c r="X31" s="19" t="str">
        <f aca="false">TEXT(D31,"mmm-yy")</f>
        <v>Aug-27</v>
      </c>
    </row>
    <row r="32" customFormat="false" ht="15" hidden="false" customHeight="false" outlineLevel="0" collapsed="false">
      <c r="C32" s="14" t="str">
        <f aca="false">'Debt Schedule'!C31</f>
        <v>P020</v>
      </c>
      <c r="D32" s="29" t="n">
        <f aca="false">'Debt Schedule'!D31</f>
        <v>46660</v>
      </c>
      <c r="E32" s="14" t="str">
        <f aca="false">'Debt Schedule'!E31</f>
        <v>monthly</v>
      </c>
      <c r="F32" s="16" t="n">
        <f aca="false">'Debt Schedule'!W30</f>
        <v>31.1067387238194</v>
      </c>
      <c r="G32" s="16" t="n">
        <f aca="false">'Debt Schedule'!I31</f>
        <v>12.5174405308409</v>
      </c>
      <c r="H32" s="16" t="n">
        <f aca="false">'Debt Schedule'!T31</f>
        <v>3.0855046875</v>
      </c>
      <c r="I32" s="16" t="n">
        <f aca="false">'Debt Schedule'!K31</f>
        <v>0</v>
      </c>
      <c r="J32" s="16" t="n">
        <f aca="false">'Debt Schedule'!U31</f>
        <v>0.66925</v>
      </c>
      <c r="K32" s="16" t="n">
        <f aca="false">'Debt Schedule'!V31</f>
        <v>1.625</v>
      </c>
      <c r="L32" s="16" t="n">
        <f aca="false">'Debt Schedule'!P31</f>
        <v>0</v>
      </c>
      <c r="M32" s="16" t="n">
        <f aca="false">'Debt Schedule'!Q31</f>
        <v>0</v>
      </c>
      <c r="N32" s="16" t="n">
        <f aca="false">'Debt Schedule'!W31</f>
        <v>38.2444245671602</v>
      </c>
      <c r="O32" s="16" t="n">
        <f aca="false">'Debt Schedule'!R31</f>
        <v>0</v>
      </c>
      <c r="P32" s="16" t="n">
        <f aca="false">'Debt Schedule'!AA31</f>
        <v>293.8</v>
      </c>
      <c r="Q32" s="16" t="n">
        <f aca="false">'Debt Schedule'!AB31</f>
        <v>307.04442456716</v>
      </c>
      <c r="R32" s="19" t="str">
        <f aca="false">IF('Debt Schedule'!AC31&gt;0,"PAYMENT FAILURE",IF(P32&lt;Assumptions!$D$31,"LIQUIDITY BREACH",IF(P32&lt;Assumptions!$D$34,"WARNING","COMPLIANT")))</f>
        <v>COMPLIANT</v>
      </c>
      <c r="S32" s="43" t="n">
        <f aca="false">MAX(0,Assumptions!$D$14-O32)</f>
        <v>300</v>
      </c>
      <c r="T32" s="19" t="str">
        <f aca="false">IF(N32&lt;Assumptions!$D$24,"BELOW FLOOR","NO")</f>
        <v>NO</v>
      </c>
      <c r="U32" s="19" t="str">
        <f aca="false">IF(P32&lt;=0.001,"EXHAUSTED","NO")</f>
        <v>NO</v>
      </c>
      <c r="V32" s="19" t="str">
        <f aca="false">'Debt Schedule'!AD31</f>
        <v>AVAILABLE</v>
      </c>
      <c r="W32" s="16" t="n">
        <f aca="false">'Debt Schedule'!AC31</f>
        <v>0</v>
      </c>
      <c r="X32" s="19" t="str">
        <f aca="false">TEXT(D32,"mmm-yy")</f>
        <v>Sep-27</v>
      </c>
    </row>
    <row r="33" customFormat="false" ht="15" hidden="false" customHeight="false" outlineLevel="0" collapsed="false">
      <c r="C33" s="14" t="str">
        <f aca="false">'Debt Schedule'!C32</f>
        <v>P021</v>
      </c>
      <c r="D33" s="29" t="n">
        <f aca="false">'Debt Schedule'!D32</f>
        <v>46691</v>
      </c>
      <c r="E33" s="14" t="str">
        <f aca="false">'Debt Schedule'!E32</f>
        <v>monthly</v>
      </c>
      <c r="F33" s="16" t="n">
        <f aca="false">'Debt Schedule'!W31</f>
        <v>38.2444245671602</v>
      </c>
      <c r="G33" s="16" t="n">
        <f aca="false">'Debt Schedule'!I32</f>
        <v>12.5174405308409</v>
      </c>
      <c r="H33" s="16" t="n">
        <f aca="false">'Debt Schedule'!T32</f>
        <v>3.052911328125</v>
      </c>
      <c r="I33" s="16" t="n">
        <f aca="false">'Debt Schedule'!K32</f>
        <v>11.90625</v>
      </c>
      <c r="J33" s="16" t="n">
        <f aca="false">'Debt Schedule'!U32</f>
        <v>0.66925</v>
      </c>
      <c r="K33" s="16" t="n">
        <f aca="false">'Debt Schedule'!V32</f>
        <v>1.625</v>
      </c>
      <c r="L33" s="16" t="n">
        <f aca="false">'Debt Schedule'!P32</f>
        <v>0</v>
      </c>
      <c r="M33" s="16" t="n">
        <f aca="false">'Debt Schedule'!Q32</f>
        <v>0</v>
      </c>
      <c r="N33" s="16" t="n">
        <f aca="false">'Debt Schedule'!W32</f>
        <v>29.254226884938</v>
      </c>
      <c r="O33" s="16" t="n">
        <f aca="false">'Debt Schedule'!R32</f>
        <v>0</v>
      </c>
      <c r="P33" s="16" t="n">
        <f aca="false">'Debt Schedule'!AA32</f>
        <v>293.8</v>
      </c>
      <c r="Q33" s="16" t="n">
        <f aca="false">'Debt Schedule'!AB32</f>
        <v>298.054226884938</v>
      </c>
      <c r="R33" s="19" t="str">
        <f aca="false">IF('Debt Schedule'!AC32&gt;0,"PAYMENT FAILURE",IF(P33&lt;Assumptions!$D$31,"LIQUIDITY BREACH",IF(P33&lt;Assumptions!$D$34,"WARNING","COMPLIANT")))</f>
        <v>COMPLIANT</v>
      </c>
      <c r="S33" s="43" t="n">
        <f aca="false">MAX(0,Assumptions!$D$14-O33)</f>
        <v>300</v>
      </c>
      <c r="T33" s="19" t="str">
        <f aca="false">IF(N33&lt;Assumptions!$D$24,"BELOW FLOOR","NO")</f>
        <v>NO</v>
      </c>
      <c r="U33" s="19" t="str">
        <f aca="false">IF(P33&lt;=0.001,"EXHAUSTED","NO")</f>
        <v>NO</v>
      </c>
      <c r="V33" s="19" t="str">
        <f aca="false">'Debt Schedule'!AD32</f>
        <v>AVAILABLE</v>
      </c>
      <c r="W33" s="16" t="n">
        <f aca="false">'Debt Schedule'!AC32</f>
        <v>0</v>
      </c>
      <c r="X33" s="19" t="str">
        <f aca="false">TEXT(D33,"mmm-yy")</f>
        <v>Oct-27</v>
      </c>
    </row>
    <row r="34" customFormat="false" ht="15" hidden="false" customHeight="false" outlineLevel="0" collapsed="false">
      <c r="C34" s="14" t="str">
        <f aca="false">'Debt Schedule'!C33</f>
        <v>P022</v>
      </c>
      <c r="D34" s="29" t="n">
        <f aca="false">'Debt Schedule'!D33</f>
        <v>46721</v>
      </c>
      <c r="E34" s="14" t="str">
        <f aca="false">'Debt Schedule'!E33</f>
        <v>monthly</v>
      </c>
      <c r="F34" s="16" t="n">
        <f aca="false">'Debt Schedule'!W32</f>
        <v>29.254226884938</v>
      </c>
      <c r="G34" s="16" t="n">
        <f aca="false">'Debt Schedule'!I33</f>
        <v>5.21599971904897</v>
      </c>
      <c r="H34" s="16" t="n">
        <f aca="false">'Debt Schedule'!T33</f>
        <v>2.99702607655496</v>
      </c>
      <c r="I34" s="16" t="n">
        <f aca="false">'Debt Schedule'!K33</f>
        <v>0</v>
      </c>
      <c r="J34" s="16" t="n">
        <f aca="false">'Debt Schedule'!U33</f>
        <v>0.569166666666667</v>
      </c>
      <c r="K34" s="16" t="n">
        <f aca="false">'Debt Schedule'!V33</f>
        <v>1.625</v>
      </c>
      <c r="L34" s="16" t="n">
        <f aca="false">'Debt Schedule'!P33</f>
        <v>0</v>
      </c>
      <c r="M34" s="16" t="n">
        <f aca="false">'Debt Schedule'!Q33</f>
        <v>0</v>
      </c>
      <c r="N34" s="16" t="n">
        <f aca="false">'Debt Schedule'!W33</f>
        <v>29.2790338607654</v>
      </c>
      <c r="O34" s="16" t="n">
        <f aca="false">'Debt Schedule'!R33</f>
        <v>0</v>
      </c>
      <c r="P34" s="16" t="n">
        <f aca="false">'Debt Schedule'!AA33</f>
        <v>293.8</v>
      </c>
      <c r="Q34" s="16" t="n">
        <f aca="false">'Debt Schedule'!AB33</f>
        <v>298.079033860765</v>
      </c>
      <c r="R34" s="19" t="str">
        <f aca="false">IF('Debt Schedule'!AC33&gt;0,"PAYMENT FAILURE",IF(P34&lt;Assumptions!$D$31,"LIQUIDITY BREACH",IF(P34&lt;Assumptions!$D$34,"WARNING","COMPLIANT")))</f>
        <v>COMPLIANT</v>
      </c>
      <c r="S34" s="43" t="n">
        <f aca="false">MAX(0,Assumptions!$D$14-O34)</f>
        <v>300</v>
      </c>
      <c r="T34" s="19" t="str">
        <f aca="false">IF(N34&lt;Assumptions!$D$24,"BELOW FLOOR","NO")</f>
        <v>NO</v>
      </c>
      <c r="U34" s="19" t="str">
        <f aca="false">IF(P34&lt;=0.001,"EXHAUSTED","NO")</f>
        <v>NO</v>
      </c>
      <c r="V34" s="19" t="str">
        <f aca="false">'Debt Schedule'!AD33</f>
        <v>AVAILABLE</v>
      </c>
      <c r="W34" s="16" t="n">
        <f aca="false">'Debt Schedule'!AC33</f>
        <v>0</v>
      </c>
      <c r="X34" s="19" t="str">
        <f aca="false">TEXT(D34,"mmm-yy")</f>
        <v>Nov-27</v>
      </c>
    </row>
    <row r="35" customFormat="false" ht="15" hidden="false" customHeight="false" outlineLevel="0" collapsed="false">
      <c r="C35" s="14" t="str">
        <f aca="false">'Debt Schedule'!C34</f>
        <v>P023</v>
      </c>
      <c r="D35" s="29" t="n">
        <f aca="false">'Debt Schedule'!D34</f>
        <v>46752</v>
      </c>
      <c r="E35" s="14" t="str">
        <f aca="false">'Debt Schedule'!E34</f>
        <v>monthly</v>
      </c>
      <c r="F35" s="16" t="n">
        <f aca="false">'Debt Schedule'!W33</f>
        <v>29.2790338607654</v>
      </c>
      <c r="G35" s="16" t="n">
        <f aca="false">'Debt Schedule'!I34</f>
        <v>5.21599971904897</v>
      </c>
      <c r="H35" s="16" t="n">
        <f aca="false">'Debt Schedule'!T34</f>
        <v>2.99702607655496</v>
      </c>
      <c r="I35" s="16" t="n">
        <f aca="false">'Debt Schedule'!K34</f>
        <v>0</v>
      </c>
      <c r="J35" s="16" t="n">
        <f aca="false">'Debt Schedule'!U34</f>
        <v>0.569166666666667</v>
      </c>
      <c r="K35" s="16" t="n">
        <f aca="false">'Debt Schedule'!V34</f>
        <v>1.625</v>
      </c>
      <c r="L35" s="16" t="n">
        <f aca="false">'Debt Schedule'!P34</f>
        <v>0</v>
      </c>
      <c r="M35" s="16" t="n">
        <f aca="false">'Debt Schedule'!Q34</f>
        <v>0</v>
      </c>
      <c r="N35" s="16" t="n">
        <f aca="false">'Debt Schedule'!W34</f>
        <v>29.3038408365927</v>
      </c>
      <c r="O35" s="16" t="n">
        <f aca="false">'Debt Schedule'!R34</f>
        <v>0</v>
      </c>
      <c r="P35" s="16" t="n">
        <f aca="false">'Debt Schedule'!AA34</f>
        <v>293.8</v>
      </c>
      <c r="Q35" s="16" t="n">
        <f aca="false">'Debt Schedule'!AB34</f>
        <v>298.103840836593</v>
      </c>
      <c r="R35" s="19" t="str">
        <f aca="false">IF('Debt Schedule'!AC34&gt;0,"PAYMENT FAILURE",IF(P35&lt;Assumptions!$D$31,"LIQUIDITY BREACH",IF(P35&lt;Assumptions!$D$34,"WARNING","COMPLIANT")))</f>
        <v>COMPLIANT</v>
      </c>
      <c r="S35" s="43" t="n">
        <f aca="false">MAX(0,Assumptions!$D$14-O35)</f>
        <v>300</v>
      </c>
      <c r="T35" s="19" t="str">
        <f aca="false">IF(N35&lt;Assumptions!$D$24,"BELOW FLOOR","NO")</f>
        <v>NO</v>
      </c>
      <c r="U35" s="19" t="str">
        <f aca="false">IF(P35&lt;=0.001,"EXHAUSTED","NO")</f>
        <v>NO</v>
      </c>
      <c r="V35" s="19" t="str">
        <f aca="false">'Debt Schedule'!AD34</f>
        <v>AVAILABLE</v>
      </c>
      <c r="W35" s="16" t="n">
        <f aca="false">'Debt Schedule'!AC34</f>
        <v>0</v>
      </c>
      <c r="X35" s="19" t="str">
        <f aca="false">TEXT(D35,"mmm-yy")</f>
        <v>Dec-27</v>
      </c>
    </row>
    <row r="36" customFormat="false" ht="15" hidden="false" customHeight="false" outlineLevel="0" collapsed="false">
      <c r="C36" s="14" t="str">
        <f aca="false">'Debt Schedule'!C35</f>
        <v>P024</v>
      </c>
      <c r="D36" s="29" t="n">
        <f aca="false">'Debt Schedule'!D35</f>
        <v>46783</v>
      </c>
      <c r="E36" s="14" t="str">
        <f aca="false">'Debt Schedule'!E35</f>
        <v>monthly</v>
      </c>
      <c r="F36" s="16" t="n">
        <f aca="false">'Debt Schedule'!W34</f>
        <v>29.3038408365927</v>
      </c>
      <c r="G36" s="16" t="n">
        <f aca="false">'Debt Schedule'!I35</f>
        <v>5.21599971904897</v>
      </c>
      <c r="H36" s="16" t="n">
        <f aca="false">'Debt Schedule'!T35</f>
        <v>2.98514387564231</v>
      </c>
      <c r="I36" s="16" t="n">
        <f aca="false">'Debt Schedule'!K35</f>
        <v>11.90625</v>
      </c>
      <c r="J36" s="16" t="n">
        <f aca="false">'Debt Schedule'!U35</f>
        <v>0.569166666666667</v>
      </c>
      <c r="K36" s="16" t="n">
        <f aca="false">'Debt Schedule'!V35</f>
        <v>1.625</v>
      </c>
      <c r="L36" s="16" t="n">
        <f aca="false">'Debt Schedule'!P35</f>
        <v>7.56571998666729</v>
      </c>
      <c r="M36" s="16" t="n">
        <f aca="false">'Debt Schedule'!Q35</f>
        <v>0</v>
      </c>
      <c r="N36" s="16" t="n">
        <f aca="false">'Debt Schedule'!W35</f>
        <v>25</v>
      </c>
      <c r="O36" s="16" t="n">
        <f aca="false">'Debt Schedule'!R35</f>
        <v>7.56571998666729</v>
      </c>
      <c r="P36" s="16" t="n">
        <f aca="false">'Debt Schedule'!AA35</f>
        <v>286.234280013333</v>
      </c>
      <c r="Q36" s="16" t="n">
        <f aca="false">'Debt Schedule'!AB35</f>
        <v>286.234280013333</v>
      </c>
      <c r="R36" s="19" t="str">
        <f aca="false">IF('Debt Schedule'!AC35&gt;0,"PAYMENT FAILURE",IF(P36&lt;Assumptions!$D$31,"LIQUIDITY BREACH",IF(P36&lt;Assumptions!$D$34,"WARNING","COMPLIANT")))</f>
        <v>COMPLIANT</v>
      </c>
      <c r="S36" s="43" t="n">
        <f aca="false">MAX(0,Assumptions!$D$14-O36)</f>
        <v>292.434280013333</v>
      </c>
      <c r="T36" s="19" t="str">
        <f aca="false">IF(N36&lt;Assumptions!$D$24,"BELOW FLOOR","NO")</f>
        <v>NO</v>
      </c>
      <c r="U36" s="19" t="str">
        <f aca="false">IF(P36&lt;=0.001,"EXHAUSTED","NO")</f>
        <v>NO</v>
      </c>
      <c r="V36" s="19" t="str">
        <f aca="false">'Debt Schedule'!AD35</f>
        <v>AVAILABLE</v>
      </c>
      <c r="W36" s="16" t="n">
        <f aca="false">'Debt Schedule'!AC35</f>
        <v>0</v>
      </c>
      <c r="X36" s="19" t="str">
        <f aca="false">TEXT(D36,"mmm-yy")</f>
        <v>Jan-28</v>
      </c>
    </row>
    <row r="37" customFormat="false" ht="15" hidden="false" customHeight="false" outlineLevel="0" collapsed="false">
      <c r="C37" s="14" t="str">
        <f aca="false">'Debt Schedule'!C36</f>
        <v>P025</v>
      </c>
      <c r="D37" s="29" t="n">
        <f aca="false">'Debt Schedule'!D36</f>
        <v>46873</v>
      </c>
      <c r="E37" s="14" t="str">
        <f aca="false">'Debt Schedule'!E36</f>
        <v>quarterly</v>
      </c>
      <c r="F37" s="16" t="n">
        <f aca="false">'Debt Schedule'!W35</f>
        <v>25</v>
      </c>
      <c r="G37" s="16" t="n">
        <f aca="false">'Debt Schedule'!I36</f>
        <v>37.9219730455145</v>
      </c>
      <c r="H37" s="16" t="n">
        <f aca="false">'Debt Schedule'!T36</f>
        <v>8.7840299439707</v>
      </c>
      <c r="I37" s="16" t="n">
        <f aca="false">'Debt Schedule'!K36</f>
        <v>11.90625</v>
      </c>
      <c r="J37" s="16" t="n">
        <f aca="false">'Debt Schedule'!U36</f>
        <v>1.7075</v>
      </c>
      <c r="K37" s="16" t="n">
        <f aca="false">'Debt Schedule'!V36</f>
        <v>4.875</v>
      </c>
      <c r="L37" s="16" t="n">
        <f aca="false">'Debt Schedule'!P36</f>
        <v>0</v>
      </c>
      <c r="M37" s="16" t="n">
        <f aca="false">'Debt Schedule'!Q36</f>
        <v>7.56571998666729</v>
      </c>
      <c r="N37" s="16" t="n">
        <f aca="false">'Debt Schedule'!W36</f>
        <v>28.0834731148765</v>
      </c>
      <c r="O37" s="16" t="n">
        <f aca="false">'Debt Schedule'!R36</f>
        <v>0</v>
      </c>
      <c r="P37" s="16" t="n">
        <f aca="false">'Debt Schedule'!AA36</f>
        <v>293.8</v>
      </c>
      <c r="Q37" s="16" t="n">
        <f aca="false">'Debt Schedule'!AB36</f>
        <v>296.883473114877</v>
      </c>
      <c r="R37" s="19" t="str">
        <f aca="false">IF('Debt Schedule'!AC36&gt;0,"PAYMENT FAILURE",IF(P37&lt;Assumptions!$D$31,"LIQUIDITY BREACH",IF(P37&lt;Assumptions!$D$34,"WARNING","COMPLIANT")))</f>
        <v>COMPLIANT</v>
      </c>
      <c r="S37" s="43" t="n">
        <f aca="false">MAX(0,Assumptions!$D$14-O37)</f>
        <v>300</v>
      </c>
      <c r="T37" s="19" t="str">
        <f aca="false">IF(N37&lt;Assumptions!$D$24,"BELOW FLOOR","NO")</f>
        <v>NO</v>
      </c>
      <c r="U37" s="19" t="str">
        <f aca="false">IF(P37&lt;=0.001,"EXHAUSTED","NO")</f>
        <v>NO</v>
      </c>
      <c r="V37" s="19" t="str">
        <f aca="false">'Debt Schedule'!AD36</f>
        <v>AVAILABLE</v>
      </c>
      <c r="W37" s="16" t="n">
        <f aca="false">'Debt Schedule'!AC36</f>
        <v>0</v>
      </c>
      <c r="X37" s="19" t="str">
        <f aca="false">TEXT(D37,"mmm-yy")</f>
        <v>Apr-28</v>
      </c>
    </row>
    <row r="38" customFormat="false" ht="15" hidden="false" customHeight="false" outlineLevel="0" collapsed="false">
      <c r="C38" s="14" t="str">
        <f aca="false">'Debt Schedule'!C37</f>
        <v>P026</v>
      </c>
      <c r="D38" s="29" t="n">
        <f aca="false">'Debt Schedule'!D37</f>
        <v>46965</v>
      </c>
      <c r="E38" s="14" t="str">
        <f aca="false">'Debt Schedule'!E37</f>
        <v>quarterly</v>
      </c>
      <c r="F38" s="16" t="n">
        <f aca="false">'Debt Schedule'!W36</f>
        <v>28.0834731148765</v>
      </c>
      <c r="G38" s="16" t="n">
        <f aca="false">'Debt Schedule'!I37</f>
        <v>37.1289437177338</v>
      </c>
      <c r="H38" s="16" t="n">
        <f aca="false">'Debt Schedule'!T37</f>
        <v>8.56736455778989</v>
      </c>
      <c r="I38" s="16" t="n">
        <f aca="false">'Debt Schedule'!K37</f>
        <v>11.90625</v>
      </c>
      <c r="J38" s="16" t="n">
        <f aca="false">'Debt Schedule'!U37</f>
        <v>1.7075</v>
      </c>
      <c r="K38" s="16" t="n">
        <f aca="false">'Debt Schedule'!V37</f>
        <v>4.875</v>
      </c>
      <c r="L38" s="16" t="n">
        <f aca="false">'Debt Schedule'!P37</f>
        <v>0</v>
      </c>
      <c r="M38" s="16" t="n">
        <f aca="false">'Debt Schedule'!Q37</f>
        <v>0</v>
      </c>
      <c r="N38" s="16" t="n">
        <f aca="false">'Debt Schedule'!W37</f>
        <v>38.1563022748204</v>
      </c>
      <c r="O38" s="16" t="n">
        <f aca="false">'Debt Schedule'!R37</f>
        <v>0</v>
      </c>
      <c r="P38" s="16" t="n">
        <f aca="false">'Debt Schedule'!AA37</f>
        <v>293.8</v>
      </c>
      <c r="Q38" s="16" t="n">
        <f aca="false">'Debt Schedule'!AB37</f>
        <v>306.95630227482</v>
      </c>
      <c r="R38" s="19" t="str">
        <f aca="false">IF('Debt Schedule'!AC37&gt;0,"PAYMENT FAILURE",IF(P38&lt;Assumptions!$D$31,"LIQUIDITY BREACH",IF(P38&lt;Assumptions!$D$34,"WARNING","COMPLIANT")))</f>
        <v>COMPLIANT</v>
      </c>
      <c r="S38" s="43" t="n">
        <f aca="false">MAX(0,Assumptions!$D$14-O38)</f>
        <v>300</v>
      </c>
      <c r="T38" s="19" t="str">
        <f aca="false">IF(N38&lt;Assumptions!$D$24,"BELOW FLOOR","NO")</f>
        <v>NO</v>
      </c>
      <c r="U38" s="19" t="str">
        <f aca="false">IF(P38&lt;=0.001,"EXHAUSTED","NO")</f>
        <v>NO</v>
      </c>
      <c r="V38" s="19" t="str">
        <f aca="false">'Debt Schedule'!AD37</f>
        <v>AVAILABLE</v>
      </c>
      <c r="W38" s="16" t="n">
        <f aca="false">'Debt Schedule'!AC37</f>
        <v>0</v>
      </c>
      <c r="X38" s="19" t="str">
        <f aca="false">TEXT(D38,"mmm-yy")</f>
        <v>Jul-28</v>
      </c>
    </row>
    <row r="39" customFormat="false" ht="15" hidden="false" customHeight="false" outlineLevel="0" collapsed="false">
      <c r="C39" s="14" t="str">
        <f aca="false">'Debt Schedule'!C38</f>
        <v>P027</v>
      </c>
      <c r="D39" s="29" t="n">
        <f aca="false">'Debt Schedule'!D38</f>
        <v>47057</v>
      </c>
      <c r="E39" s="14" t="str">
        <f aca="false">'Debt Schedule'!E38</f>
        <v>quarterly</v>
      </c>
      <c r="F39" s="16" t="n">
        <f aca="false">'Debt Schedule'!W37</f>
        <v>38.1563022748204</v>
      </c>
      <c r="G39" s="16" t="n">
        <f aca="false">'Debt Schedule'!I38</f>
        <v>37.5513827844828</v>
      </c>
      <c r="H39" s="16" t="n">
        <f aca="false">'Debt Schedule'!T38</f>
        <v>8.37180440153989</v>
      </c>
      <c r="I39" s="16" t="n">
        <f aca="false">'Debt Schedule'!K38</f>
        <v>11.90625</v>
      </c>
      <c r="J39" s="16" t="n">
        <f aca="false">'Debt Schedule'!U38</f>
        <v>1.7075</v>
      </c>
      <c r="K39" s="16" t="n">
        <f aca="false">'Debt Schedule'!V38</f>
        <v>4.875</v>
      </c>
      <c r="L39" s="16" t="n">
        <f aca="false">'Debt Schedule'!P38</f>
        <v>0</v>
      </c>
      <c r="M39" s="16" t="n">
        <f aca="false">'Debt Schedule'!Q38</f>
        <v>0</v>
      </c>
      <c r="N39" s="16" t="n">
        <f aca="false">'Debt Schedule'!W38</f>
        <v>36.9235653288816</v>
      </c>
      <c r="O39" s="16" t="n">
        <f aca="false">'Debt Schedule'!R38</f>
        <v>0</v>
      </c>
      <c r="P39" s="16" t="n">
        <f aca="false">'Debt Schedule'!AA38</f>
        <v>293.8</v>
      </c>
      <c r="Q39" s="16" t="n">
        <f aca="false">'Debt Schedule'!AB38</f>
        <v>305.723565328882</v>
      </c>
      <c r="R39" s="19" t="str">
        <f aca="false">IF('Debt Schedule'!AC38&gt;0,"PAYMENT FAILURE",IF(P39&lt;Assumptions!$D$31,"LIQUIDITY BREACH",IF(P39&lt;Assumptions!$D$34,"WARNING","COMPLIANT")))</f>
        <v>COMPLIANT</v>
      </c>
      <c r="S39" s="43" t="n">
        <f aca="false">MAX(0,Assumptions!$D$14-O39)</f>
        <v>300</v>
      </c>
      <c r="T39" s="19" t="str">
        <f aca="false">IF(N39&lt;Assumptions!$D$24,"BELOW FLOOR","NO")</f>
        <v>NO</v>
      </c>
      <c r="U39" s="19" t="str">
        <f aca="false">IF(P39&lt;=0.001,"EXHAUSTED","NO")</f>
        <v>NO</v>
      </c>
      <c r="V39" s="19" t="str">
        <f aca="false">'Debt Schedule'!AD38</f>
        <v>AVAILABLE</v>
      </c>
      <c r="W39" s="16" t="n">
        <f aca="false">'Debt Schedule'!AC38</f>
        <v>0</v>
      </c>
      <c r="X39" s="19" t="str">
        <f aca="false">TEXT(D39,"mmm-yy")</f>
        <v>Oct-28</v>
      </c>
    </row>
    <row r="40" customFormat="false" ht="15" hidden="false" customHeight="false" outlineLevel="0" collapsed="false">
      <c r="C40" s="14" t="str">
        <f aca="false">'Debt Schedule'!C39</f>
        <v>P028</v>
      </c>
      <c r="D40" s="29" t="n">
        <f aca="false">'Debt Schedule'!D39</f>
        <v>47149</v>
      </c>
      <c r="E40" s="14" t="str">
        <f aca="false">'Debt Schedule'!E39</f>
        <v>quarterly</v>
      </c>
      <c r="F40" s="16" t="n">
        <f aca="false">'Debt Schedule'!W38</f>
        <v>36.9235653288816</v>
      </c>
      <c r="G40" s="16" t="n">
        <f aca="false">'Debt Schedule'!I39</f>
        <v>15.647607957168</v>
      </c>
      <c r="H40" s="16" t="n">
        <f aca="false">'Debt Schedule'!T39</f>
        <v>7.98039968476301</v>
      </c>
      <c r="I40" s="16" t="n">
        <f aca="false">'Debt Schedule'!K39</f>
        <v>11.90625</v>
      </c>
      <c r="J40" s="16" t="n">
        <f aca="false">'Debt Schedule'!U39</f>
        <v>1.6245</v>
      </c>
      <c r="K40" s="16" t="n">
        <f aca="false">'Debt Schedule'!V39</f>
        <v>4.875</v>
      </c>
      <c r="L40" s="16" t="n">
        <f aca="false">'Debt Schedule'!P39</f>
        <v>0</v>
      </c>
      <c r="M40" s="16" t="n">
        <f aca="false">'Debt Schedule'!Q39</f>
        <v>0</v>
      </c>
      <c r="N40" s="16" t="n">
        <f aca="false">'Debt Schedule'!W39</f>
        <v>26.1850236012866</v>
      </c>
      <c r="O40" s="16" t="n">
        <f aca="false">'Debt Schedule'!R39</f>
        <v>0</v>
      </c>
      <c r="P40" s="16" t="n">
        <f aca="false">'Debt Schedule'!AA39</f>
        <v>293.8</v>
      </c>
      <c r="Q40" s="16" t="n">
        <f aca="false">'Debt Schedule'!AB39</f>
        <v>294.985023601287</v>
      </c>
      <c r="R40" s="19" t="str">
        <f aca="false">IF('Debt Schedule'!AC39&gt;0,"PAYMENT FAILURE",IF(P40&lt;Assumptions!$D$31,"LIQUIDITY BREACH",IF(P40&lt;Assumptions!$D$34,"WARNING","COMPLIANT")))</f>
        <v>COMPLIANT</v>
      </c>
      <c r="S40" s="43" t="n">
        <f aca="false">MAX(0,Assumptions!$D$14-O40)</f>
        <v>300</v>
      </c>
      <c r="T40" s="19" t="str">
        <f aca="false">IF(N40&lt;Assumptions!$D$24,"BELOW FLOOR","NO")</f>
        <v>NO</v>
      </c>
      <c r="U40" s="19" t="str">
        <f aca="false">IF(P40&lt;=0.001,"EXHAUSTED","NO")</f>
        <v>NO</v>
      </c>
      <c r="V40" s="19" t="str">
        <f aca="false">'Debt Schedule'!AD39</f>
        <v>AVAILABLE</v>
      </c>
      <c r="W40" s="16" t="n">
        <f aca="false">'Debt Schedule'!AC39</f>
        <v>0</v>
      </c>
      <c r="X40" s="19" t="str">
        <f aca="false">TEXT(D40,"mmm-yy")</f>
        <v>Jan-29</v>
      </c>
    </row>
    <row r="41" customFormat="false" ht="15" hidden="false" customHeight="false" outlineLevel="0" collapsed="false">
      <c r="C41" s="14" t="str">
        <f aca="false">'Debt Schedule'!C40</f>
        <v>P029</v>
      </c>
      <c r="D41" s="29" t="n">
        <f aca="false">'Debt Schedule'!D40</f>
        <v>47238</v>
      </c>
      <c r="E41" s="14" t="str">
        <f aca="false">'Debt Schedule'!E40</f>
        <v>quarterly</v>
      </c>
      <c r="F41" s="16" t="n">
        <f aca="false">'Debt Schedule'!W39</f>
        <v>26.1850236012866</v>
      </c>
      <c r="G41" s="16" t="n">
        <f aca="false">'Debt Schedule'!I40</f>
        <v>37.9210249961884</v>
      </c>
      <c r="H41" s="16" t="n">
        <f aca="false">'Debt Schedule'!T40</f>
        <v>7.78483952851302</v>
      </c>
      <c r="I41" s="16" t="n">
        <f aca="false">'Debt Schedule'!K40</f>
        <v>11.90625</v>
      </c>
      <c r="J41" s="16" t="n">
        <f aca="false">'Debt Schedule'!U40</f>
        <v>1.6245</v>
      </c>
      <c r="K41" s="16" t="n">
        <f aca="false">'Debt Schedule'!V40</f>
        <v>4.875</v>
      </c>
      <c r="L41" s="16" t="n">
        <f aca="false">'Debt Schedule'!P40</f>
        <v>0</v>
      </c>
      <c r="M41" s="16" t="n">
        <f aca="false">'Debt Schedule'!Q40</f>
        <v>0</v>
      </c>
      <c r="N41" s="16" t="n">
        <f aca="false">'Debt Schedule'!W40</f>
        <v>37.915459068962</v>
      </c>
      <c r="O41" s="16" t="n">
        <f aca="false">'Debt Schedule'!R40</f>
        <v>0</v>
      </c>
      <c r="P41" s="16" t="n">
        <f aca="false">'Debt Schedule'!AA40</f>
        <v>293.8</v>
      </c>
      <c r="Q41" s="16" t="n">
        <f aca="false">'Debt Schedule'!AB40</f>
        <v>306.715459068962</v>
      </c>
      <c r="R41" s="19" t="str">
        <f aca="false">IF('Debt Schedule'!AC40&gt;0,"PAYMENT FAILURE",IF(P41&lt;Assumptions!$D$31,"LIQUIDITY BREACH",IF(P41&lt;Assumptions!$D$34,"WARNING","COMPLIANT")))</f>
        <v>COMPLIANT</v>
      </c>
      <c r="S41" s="43" t="n">
        <f aca="false">MAX(0,Assumptions!$D$14-O41)</f>
        <v>300</v>
      </c>
      <c r="T41" s="19" t="str">
        <f aca="false">IF(N41&lt;Assumptions!$D$24,"BELOW FLOOR","NO")</f>
        <v>NO</v>
      </c>
      <c r="U41" s="19" t="str">
        <f aca="false">IF(P41&lt;=0.001,"EXHAUSTED","NO")</f>
        <v>NO</v>
      </c>
      <c r="V41" s="19" t="str">
        <f aca="false">'Debt Schedule'!AD40</f>
        <v>AVAILABLE</v>
      </c>
      <c r="W41" s="16" t="n">
        <f aca="false">'Debt Schedule'!AC40</f>
        <v>0</v>
      </c>
      <c r="X41" s="19" t="str">
        <f aca="false">TEXT(D41,"mmm-yy")</f>
        <v>Apr-29</v>
      </c>
    </row>
    <row r="42" customFormat="false" ht="15" hidden="false" customHeight="false" outlineLevel="0" collapsed="false">
      <c r="C42" s="14" t="str">
        <f aca="false">'Debt Schedule'!C41</f>
        <v>P030</v>
      </c>
      <c r="D42" s="29" t="n">
        <f aca="false">'Debt Schedule'!D41</f>
        <v>47330</v>
      </c>
      <c r="E42" s="14" t="str">
        <f aca="false">'Debt Schedule'!E41</f>
        <v>quarterly</v>
      </c>
      <c r="F42" s="16" t="n">
        <f aca="false">'Debt Schedule'!W40</f>
        <v>37.915459068962</v>
      </c>
      <c r="G42" s="16" t="n">
        <f aca="false">'Debt Schedule'!I41</f>
        <v>37.1280154941409</v>
      </c>
      <c r="H42" s="16" t="n">
        <f aca="false">'Debt Schedule'!T41</f>
        <v>7.58927937226301</v>
      </c>
      <c r="I42" s="16" t="n">
        <f aca="false">'Debt Schedule'!K41</f>
        <v>11.90625</v>
      </c>
      <c r="J42" s="16" t="n">
        <f aca="false">'Debt Schedule'!U41</f>
        <v>1.6245</v>
      </c>
      <c r="K42" s="16" t="n">
        <f aca="false">'Debt Schedule'!V41</f>
        <v>4.875</v>
      </c>
      <c r="L42" s="16" t="n">
        <f aca="false">'Debt Schedule'!P41</f>
        <v>0</v>
      </c>
      <c r="M42" s="16" t="n">
        <f aca="false">'Debt Schedule'!Q41</f>
        <v>0</v>
      </c>
      <c r="N42" s="16" t="n">
        <f aca="false">'Debt Schedule'!W41</f>
        <v>49.0484451908398</v>
      </c>
      <c r="O42" s="16" t="n">
        <f aca="false">'Debt Schedule'!R41</f>
        <v>0</v>
      </c>
      <c r="P42" s="16" t="n">
        <f aca="false">'Debt Schedule'!AA41</f>
        <v>293.8</v>
      </c>
      <c r="Q42" s="16" t="n">
        <f aca="false">'Debt Schedule'!AB41</f>
        <v>317.84844519084</v>
      </c>
      <c r="R42" s="19" t="str">
        <f aca="false">IF('Debt Schedule'!AC41&gt;0,"PAYMENT FAILURE",IF(P42&lt;Assumptions!$D$31,"LIQUIDITY BREACH",IF(P42&lt;Assumptions!$D$34,"WARNING","COMPLIANT")))</f>
        <v>COMPLIANT</v>
      </c>
      <c r="S42" s="43" t="n">
        <f aca="false">MAX(0,Assumptions!$D$14-O42)</f>
        <v>300</v>
      </c>
      <c r="T42" s="19" t="str">
        <f aca="false">IF(N42&lt;Assumptions!$D$24,"BELOW FLOOR","NO")</f>
        <v>NO</v>
      </c>
      <c r="U42" s="19" t="str">
        <f aca="false">IF(P42&lt;=0.001,"EXHAUSTED","NO")</f>
        <v>NO</v>
      </c>
      <c r="V42" s="19" t="str">
        <f aca="false">'Debt Schedule'!AD41</f>
        <v>AVAILABLE</v>
      </c>
      <c r="W42" s="16" t="n">
        <f aca="false">'Debt Schedule'!AC41</f>
        <v>0</v>
      </c>
      <c r="X42" s="19" t="str">
        <f aca="false">TEXT(D42,"mmm-yy")</f>
        <v>Jul-29</v>
      </c>
    </row>
    <row r="43" customFormat="false" ht="15" hidden="false" customHeight="false" outlineLevel="0" collapsed="false">
      <c r="C43" s="14" t="str">
        <f aca="false">'Debt Schedule'!C42</f>
        <v>P031</v>
      </c>
      <c r="D43" s="29" t="n">
        <f aca="false">'Debt Schedule'!D42</f>
        <v>47422</v>
      </c>
      <c r="E43" s="14" t="str">
        <f aca="false">'Debt Schedule'!E42</f>
        <v>quarterly</v>
      </c>
      <c r="F43" s="16" t="n">
        <f aca="false">'Debt Schedule'!W41</f>
        <v>49.0484451908398</v>
      </c>
      <c r="G43" s="16" t="n">
        <f aca="false">'Debt Schedule'!I42</f>
        <v>37.5504439999131</v>
      </c>
      <c r="H43" s="16" t="n">
        <f aca="false">'Debt Schedule'!T42</f>
        <v>7.39371921601301</v>
      </c>
      <c r="I43" s="16" t="n">
        <f aca="false">'Debt Schedule'!K42</f>
        <v>11.90625</v>
      </c>
      <c r="J43" s="16" t="n">
        <f aca="false">'Debt Schedule'!U42</f>
        <v>1.6245</v>
      </c>
      <c r="K43" s="16" t="n">
        <f aca="false">'Debt Schedule'!V42</f>
        <v>4.875</v>
      </c>
      <c r="L43" s="16" t="n">
        <f aca="false">'Debt Schedule'!P42</f>
        <v>0</v>
      </c>
      <c r="M43" s="16" t="n">
        <f aca="false">'Debt Schedule'!Q42</f>
        <v>0</v>
      </c>
      <c r="N43" s="16" t="n">
        <f aca="false">'Debt Schedule'!W42</f>
        <v>42.89970998737</v>
      </c>
      <c r="O43" s="16" t="n">
        <f aca="false">'Debt Schedule'!R42</f>
        <v>0</v>
      </c>
      <c r="P43" s="16" t="n">
        <f aca="false">'Debt Schedule'!AA42</f>
        <v>293.8</v>
      </c>
      <c r="Q43" s="16" t="n">
        <f aca="false">'Debt Schedule'!AB42</f>
        <v>311.69970998737</v>
      </c>
      <c r="R43" s="19" t="str">
        <f aca="false">IF('Debt Schedule'!AC42&gt;0,"PAYMENT FAILURE",IF(P43&lt;Assumptions!$D$31,"LIQUIDITY BREACH",IF(P43&lt;Assumptions!$D$34,"WARNING","COMPLIANT")))</f>
        <v>COMPLIANT</v>
      </c>
      <c r="S43" s="43" t="n">
        <f aca="false">MAX(0,Assumptions!$D$14-O43)</f>
        <v>300</v>
      </c>
      <c r="T43" s="19" t="str">
        <f aca="false">IF(N43&lt;Assumptions!$D$24,"BELOW FLOOR","NO")</f>
        <v>NO</v>
      </c>
      <c r="U43" s="19" t="str">
        <f aca="false">IF(P43&lt;=0.001,"EXHAUSTED","NO")</f>
        <v>NO</v>
      </c>
      <c r="V43" s="19" t="str">
        <f aca="false">'Debt Schedule'!AD42</f>
        <v>AVAILABLE</v>
      </c>
      <c r="W43" s="16" t="n">
        <f aca="false">'Debt Schedule'!AC42</f>
        <v>0</v>
      </c>
      <c r="X43" s="19" t="str">
        <f aca="false">TEXT(D43,"mmm-yy")</f>
        <v>Oct-29</v>
      </c>
    </row>
    <row r="44" customFormat="false" ht="15" hidden="false" customHeight="false" outlineLevel="0" collapsed="false">
      <c r="C44" s="14" t="str">
        <f aca="false">'Debt Schedule'!C43</f>
        <v>P032</v>
      </c>
      <c r="D44" s="29" t="n">
        <f aca="false">'Debt Schedule'!D43</f>
        <v>47514</v>
      </c>
      <c r="E44" s="14" t="str">
        <f aca="false">'Debt Schedule'!E43</f>
        <v>quarterly</v>
      </c>
      <c r="F44" s="16" t="n">
        <f aca="false">'Debt Schedule'!W42</f>
        <v>42.89970998737</v>
      </c>
      <c r="G44" s="16" t="n">
        <f aca="false">'Debt Schedule'!I43</f>
        <v>15.6472167669691</v>
      </c>
      <c r="H44" s="16" t="n">
        <f aca="false">'Debt Schedule'!T43</f>
        <v>6.90415632322047</v>
      </c>
      <c r="I44" s="16" t="n">
        <f aca="false">'Debt Schedule'!K43</f>
        <v>11.90625</v>
      </c>
      <c r="J44" s="16" t="n">
        <f aca="false">'Debt Schedule'!U43</f>
        <v>1.5365</v>
      </c>
      <c r="K44" s="16" t="n">
        <f aca="false">'Debt Schedule'!V43</f>
        <v>4.875</v>
      </c>
      <c r="L44" s="16" t="n">
        <f aca="false">'Debt Schedule'!P43</f>
        <v>0</v>
      </c>
      <c r="M44" s="16" t="n">
        <f aca="false">'Debt Schedule'!Q43</f>
        <v>0</v>
      </c>
      <c r="N44" s="16" t="n">
        <f aca="false">'Debt Schedule'!W43</f>
        <v>33.3250204311185</v>
      </c>
      <c r="O44" s="16" t="n">
        <f aca="false">'Debt Schedule'!R43</f>
        <v>0</v>
      </c>
      <c r="P44" s="16" t="n">
        <f aca="false">'Debt Schedule'!AA43</f>
        <v>293.8</v>
      </c>
      <c r="Q44" s="16" t="n">
        <f aca="false">'Debt Schedule'!AB43</f>
        <v>302.125020431119</v>
      </c>
      <c r="R44" s="19" t="str">
        <f aca="false">IF('Debt Schedule'!AC43&gt;0,"PAYMENT FAILURE",IF(P44&lt;Assumptions!$D$31,"LIQUIDITY BREACH",IF(P44&lt;Assumptions!$D$34,"WARNING","COMPLIANT")))</f>
        <v>COMPLIANT</v>
      </c>
      <c r="S44" s="43" t="n">
        <f aca="false">MAX(0,Assumptions!$D$14-O44)</f>
        <v>300</v>
      </c>
      <c r="T44" s="19" t="str">
        <f aca="false">IF(N44&lt;Assumptions!$D$24,"BELOW FLOOR","NO")</f>
        <v>NO</v>
      </c>
      <c r="U44" s="19" t="str">
        <f aca="false">IF(P44&lt;=0.001,"EXHAUSTED","NO")</f>
        <v>NO</v>
      </c>
      <c r="V44" s="19" t="str">
        <f aca="false">'Debt Schedule'!AD43</f>
        <v>AVAILABLE</v>
      </c>
      <c r="W44" s="16" t="n">
        <f aca="false">'Debt Schedule'!AC43</f>
        <v>0</v>
      </c>
      <c r="X44" s="19" t="str">
        <f aca="false">TEXT(D44,"mmm-yy")</f>
        <v>Jan-30</v>
      </c>
    </row>
    <row r="45" customFormat="false" ht="15" hidden="false" customHeight="false" outlineLevel="0" collapsed="false">
      <c r="C45" s="14" t="str">
        <f aca="false">'Debt Schedule'!C44</f>
        <v>P033</v>
      </c>
      <c r="D45" s="29" t="n">
        <f aca="false">'Debt Schedule'!D44</f>
        <v>47603</v>
      </c>
      <c r="E45" s="14" t="str">
        <f aca="false">'Debt Schedule'!E44</f>
        <v>quarterly</v>
      </c>
      <c r="F45" s="16" t="n">
        <f aca="false">'Debt Schedule'!W43</f>
        <v>33.3250204311185</v>
      </c>
      <c r="G45" s="16" t="n">
        <f aca="false">'Debt Schedule'!I44</f>
        <v>37.9200769705635</v>
      </c>
      <c r="H45" s="16" t="n">
        <f aca="false">'Debt Schedule'!T44</f>
        <v>6.70859616697046</v>
      </c>
      <c r="I45" s="16" t="n">
        <f aca="false">'Debt Schedule'!K44</f>
        <v>11.90625</v>
      </c>
      <c r="J45" s="16" t="n">
        <f aca="false">'Debt Schedule'!U44</f>
        <v>1.5365</v>
      </c>
      <c r="K45" s="16" t="n">
        <f aca="false">'Debt Schedule'!V44</f>
        <v>4.875</v>
      </c>
      <c r="L45" s="16" t="n">
        <f aca="false">'Debt Schedule'!P44</f>
        <v>0</v>
      </c>
      <c r="M45" s="16" t="n">
        <f aca="false">'Debt Schedule'!Q44</f>
        <v>0</v>
      </c>
      <c r="N45" s="16" t="n">
        <f aca="false">'Debt Schedule'!W44</f>
        <v>46.2187512347115</v>
      </c>
      <c r="O45" s="16" t="n">
        <f aca="false">'Debt Schedule'!R44</f>
        <v>0</v>
      </c>
      <c r="P45" s="16" t="n">
        <f aca="false">'Debt Schedule'!AA44</f>
        <v>293.8</v>
      </c>
      <c r="Q45" s="16" t="n">
        <f aca="false">'Debt Schedule'!AB44</f>
        <v>315.018751234712</v>
      </c>
      <c r="R45" s="19" t="str">
        <f aca="false">IF('Debt Schedule'!AC44&gt;0,"PAYMENT FAILURE",IF(P45&lt;Assumptions!$D$31,"LIQUIDITY BREACH",IF(P45&lt;Assumptions!$D$34,"WARNING","COMPLIANT")))</f>
        <v>COMPLIANT</v>
      </c>
      <c r="S45" s="43" t="n">
        <f aca="false">MAX(0,Assumptions!$D$14-O45)</f>
        <v>300</v>
      </c>
      <c r="T45" s="19" t="str">
        <f aca="false">IF(N45&lt;Assumptions!$D$24,"BELOW FLOOR","NO")</f>
        <v>NO</v>
      </c>
      <c r="U45" s="19" t="str">
        <f aca="false">IF(P45&lt;=0.001,"EXHAUSTED","NO")</f>
        <v>NO</v>
      </c>
      <c r="V45" s="19" t="str">
        <f aca="false">'Debt Schedule'!AD44</f>
        <v>AVAILABLE</v>
      </c>
      <c r="W45" s="16" t="n">
        <f aca="false">'Debt Schedule'!AC44</f>
        <v>0</v>
      </c>
      <c r="X45" s="19" t="str">
        <f aca="false">TEXT(D45,"mmm-yy")</f>
        <v>Apr-30</v>
      </c>
    </row>
    <row r="46" customFormat="false" ht="15" hidden="false" customHeight="false" outlineLevel="0" collapsed="false">
      <c r="C46" s="14" t="str">
        <f aca="false">'Debt Schedule'!C45</f>
        <v>P034</v>
      </c>
      <c r="D46" s="29" t="n">
        <f aca="false">'Debt Schedule'!D45</f>
        <v>47695</v>
      </c>
      <c r="E46" s="14" t="str">
        <f aca="false">'Debt Schedule'!E45</f>
        <v>quarterly</v>
      </c>
      <c r="F46" s="16" t="n">
        <f aca="false">'Debt Schedule'!W44</f>
        <v>46.2187512347115</v>
      </c>
      <c r="G46" s="16" t="n">
        <f aca="false">'Debt Schedule'!I45</f>
        <v>37.1270872937535</v>
      </c>
      <c r="H46" s="16" t="n">
        <f aca="false">'Debt Schedule'!T45</f>
        <v>6.51303601072047</v>
      </c>
      <c r="I46" s="16" t="n">
        <f aca="false">'Debt Schedule'!K45</f>
        <v>11.90625</v>
      </c>
      <c r="J46" s="16" t="n">
        <f aca="false">'Debt Schedule'!U45</f>
        <v>1.5365</v>
      </c>
      <c r="K46" s="16" t="n">
        <f aca="false">'Debt Schedule'!V45</f>
        <v>4.875</v>
      </c>
      <c r="L46" s="16" t="n">
        <f aca="false">'Debt Schedule'!P45</f>
        <v>0</v>
      </c>
      <c r="M46" s="16" t="n">
        <f aca="false">'Debt Schedule'!Q45</f>
        <v>0</v>
      </c>
      <c r="N46" s="16" t="n">
        <f aca="false">'Debt Schedule'!W45</f>
        <v>58.5150525177446</v>
      </c>
      <c r="O46" s="16" t="n">
        <f aca="false">'Debt Schedule'!R45</f>
        <v>0</v>
      </c>
      <c r="P46" s="16" t="n">
        <f aca="false">'Debt Schedule'!AA45</f>
        <v>293.8</v>
      </c>
      <c r="Q46" s="16" t="n">
        <f aca="false">'Debt Schedule'!AB45</f>
        <v>327.315052517745</v>
      </c>
      <c r="R46" s="19" t="str">
        <f aca="false">IF('Debt Schedule'!AC45&gt;0,"PAYMENT FAILURE",IF(P46&lt;Assumptions!$D$31,"LIQUIDITY BREACH",IF(P46&lt;Assumptions!$D$34,"WARNING","COMPLIANT")))</f>
        <v>COMPLIANT</v>
      </c>
      <c r="S46" s="43" t="n">
        <f aca="false">MAX(0,Assumptions!$D$14-O46)</f>
        <v>300</v>
      </c>
      <c r="T46" s="19" t="str">
        <f aca="false">IF(N46&lt;Assumptions!$D$24,"BELOW FLOOR","NO")</f>
        <v>NO</v>
      </c>
      <c r="U46" s="19" t="str">
        <f aca="false">IF(P46&lt;=0.001,"EXHAUSTED","NO")</f>
        <v>NO</v>
      </c>
      <c r="V46" s="19" t="str">
        <f aca="false">'Debt Schedule'!AD45</f>
        <v>AVAILABLE</v>
      </c>
      <c r="W46" s="16" t="n">
        <f aca="false">'Debt Schedule'!AC45</f>
        <v>0</v>
      </c>
      <c r="X46" s="19" t="str">
        <f aca="false">TEXT(D46,"mmm-yy")</f>
        <v>Jul-30</v>
      </c>
    </row>
    <row r="47" customFormat="false" ht="15" hidden="false" customHeight="false" outlineLevel="0" collapsed="false">
      <c r="C47" s="14" t="str">
        <f aca="false">'Debt Schedule'!C46</f>
        <v>P035</v>
      </c>
      <c r="D47" s="29" t="n">
        <f aca="false">'Debt Schedule'!D46</f>
        <v>47787</v>
      </c>
      <c r="E47" s="14" t="str">
        <f aca="false">'Debt Schedule'!E46</f>
        <v>quarterly</v>
      </c>
      <c r="F47" s="16" t="n">
        <f aca="false">'Debt Schedule'!W45</f>
        <v>58.5150525177446</v>
      </c>
      <c r="G47" s="16" t="n">
        <f aca="false">'Debt Schedule'!I46</f>
        <v>37.5495052388131</v>
      </c>
      <c r="H47" s="16" t="n">
        <f aca="false">'Debt Schedule'!T46</f>
        <v>6.31747585447046</v>
      </c>
      <c r="I47" s="16" t="n">
        <f aca="false">'Debt Schedule'!K46</f>
        <v>11.90625</v>
      </c>
      <c r="J47" s="16" t="n">
        <f aca="false">'Debt Schedule'!U46</f>
        <v>1.5365</v>
      </c>
      <c r="K47" s="16" t="n">
        <f aca="false">'Debt Schedule'!V46</f>
        <v>4.875</v>
      </c>
      <c r="L47" s="16" t="n">
        <f aca="false">'Debt Schedule'!P46</f>
        <v>0</v>
      </c>
      <c r="M47" s="16" t="n">
        <f aca="false">'Debt Schedule'!Q46</f>
        <v>0</v>
      </c>
      <c r="N47" s="16" t="n">
        <f aca="false">'Debt Schedule'!W46</f>
        <v>48.2146659510436</v>
      </c>
      <c r="O47" s="16" t="n">
        <f aca="false">'Debt Schedule'!R46</f>
        <v>0</v>
      </c>
      <c r="P47" s="16" t="n">
        <f aca="false">'Debt Schedule'!AA46</f>
        <v>293.8</v>
      </c>
      <c r="Q47" s="16" t="n">
        <f aca="false">'Debt Schedule'!AB46</f>
        <v>317.014665951044</v>
      </c>
      <c r="R47" s="19" t="str">
        <f aca="false">IF('Debt Schedule'!AC46&gt;0,"PAYMENT FAILURE",IF(P47&lt;Assumptions!$D$31,"LIQUIDITY BREACH",IF(P47&lt;Assumptions!$D$34,"WARNING","COMPLIANT")))</f>
        <v>COMPLIANT</v>
      </c>
      <c r="S47" s="43" t="n">
        <f aca="false">MAX(0,Assumptions!$D$14-O47)</f>
        <v>300</v>
      </c>
      <c r="T47" s="19" t="str">
        <f aca="false">IF(N47&lt;Assumptions!$D$24,"BELOW FLOOR","NO")</f>
        <v>NO</v>
      </c>
      <c r="U47" s="19" t="str">
        <f aca="false">IF(P47&lt;=0.001,"EXHAUSTED","NO")</f>
        <v>NO</v>
      </c>
      <c r="V47" s="19" t="str">
        <f aca="false">'Debt Schedule'!AD46</f>
        <v>AVAILABLE</v>
      </c>
      <c r="W47" s="16" t="n">
        <f aca="false">'Debt Schedule'!AC46</f>
        <v>0</v>
      </c>
      <c r="X47" s="19" t="str">
        <f aca="false">TEXT(D47,"mmm-yy")</f>
        <v>Oct-30</v>
      </c>
    </row>
    <row r="48" customFormat="false" ht="15" hidden="false" customHeight="false" outlineLevel="0" collapsed="false">
      <c r="C48" s="14" t="str">
        <f aca="false">'Debt Schedule'!C47</f>
        <v>P036</v>
      </c>
      <c r="D48" s="29" t="n">
        <f aca="false">'Debt Schedule'!D47</f>
        <v>47879</v>
      </c>
      <c r="E48" s="14" t="str">
        <f aca="false">'Debt Schedule'!E47</f>
        <v>quarterly</v>
      </c>
      <c r="F48" s="16" t="n">
        <f aca="false">'Debt Schedule'!W46</f>
        <v>48.2146659510436</v>
      </c>
      <c r="G48" s="16" t="n">
        <f aca="false">'Debt Schedule'!I47</f>
        <v>15.6468255865499</v>
      </c>
      <c r="H48" s="16" t="n">
        <f aca="false">'Debt Schedule'!T47</f>
        <v>5.74061480997457</v>
      </c>
      <c r="I48" s="16" t="n">
        <f aca="false">'Debt Schedule'!K47</f>
        <v>11.90625</v>
      </c>
      <c r="J48" s="16" t="n">
        <f aca="false">'Debt Schedule'!U47</f>
        <v>1.5365</v>
      </c>
      <c r="K48" s="16" t="n">
        <f aca="false">'Debt Schedule'!V47</f>
        <v>4.875</v>
      </c>
      <c r="L48" s="16" t="n">
        <f aca="false">'Debt Schedule'!P47</f>
        <v>0</v>
      </c>
      <c r="M48" s="16" t="n">
        <f aca="false">'Debt Schedule'!Q47</f>
        <v>0</v>
      </c>
      <c r="N48" s="16" t="n">
        <f aca="false">'Debt Schedule'!W47</f>
        <v>25</v>
      </c>
      <c r="O48" s="16" t="n">
        <f aca="false">'Debt Schedule'!R47</f>
        <v>0</v>
      </c>
      <c r="P48" s="16" t="n">
        <f aca="false">'Debt Schedule'!AA47</f>
        <v>293.8</v>
      </c>
      <c r="Q48" s="16" t="n">
        <f aca="false">'Debt Schedule'!AB47</f>
        <v>293.8</v>
      </c>
      <c r="R48" s="19" t="str">
        <f aca="false">IF('Debt Schedule'!AC47&gt;0,"PAYMENT FAILURE",IF(P48&lt;Assumptions!$D$31,"LIQUIDITY BREACH",IF(P48&lt;Assumptions!$D$34,"WARNING","COMPLIANT")))</f>
        <v>COMPLIANT</v>
      </c>
      <c r="S48" s="43" t="n">
        <f aca="false">MAX(0,Assumptions!$D$14-O48)</f>
        <v>300</v>
      </c>
      <c r="T48" s="19" t="str">
        <f aca="false">IF(N48&lt;Assumptions!$D$24,"BELOW FLOOR","NO")</f>
        <v>NO</v>
      </c>
      <c r="U48" s="19" t="str">
        <f aca="false">IF(P48&lt;=0.001,"EXHAUSTED","NO")</f>
        <v>NO</v>
      </c>
      <c r="V48" s="19" t="str">
        <f aca="false">'Debt Schedule'!AD47</f>
        <v>AVAILABLE</v>
      </c>
      <c r="W48" s="16" t="n">
        <f aca="false">'Debt Schedule'!AC47</f>
        <v>0</v>
      </c>
      <c r="X48" s="19" t="str">
        <f aca="false">TEXT(D48,"mmm-yy")</f>
        <v>Jan-31</v>
      </c>
    </row>
  </sheetData>
  <conditionalFormatting sqref="R13:V48">
    <cfRule type="containsText" priority="2" operator="containsText" aboveAverage="0" equalAverage="0" bottom="0" percent="0" rank="0" text="BREACH" dxfId="45">
      <formula>NOT(ISERROR(SEARCH("BREACH",R13)))</formula>
    </cfRule>
    <cfRule type="containsText" priority="3" operator="containsText" aboveAverage="0" equalAverage="0" bottom="0" percent="0" rank="0" text="FAIL" dxfId="46">
      <formula>NOT(ISERROR(SEARCH("FAIL",R13)))</formula>
    </cfRule>
    <cfRule type="containsText" priority="4" operator="containsText" aboveAverage="0" equalAverage="0" bottom="0" percent="0" rank="0" text="WARNING" dxfId="47">
      <formula>NOT(ISERROR(SEARCH("WARNING",R13)))</formula>
    </cfRule>
    <cfRule type="containsText" priority="5" operator="containsText" aboveAverage="0" equalAverage="0" bottom="0" percent="0" rank="0" text="STALE" dxfId="48">
      <formula>NOT(ISERROR(SEARCH("STALE",R13)))</formula>
    </cfRule>
    <cfRule type="containsText" priority="6" operator="containsText" aboveAverage="0" equalAverage="0" bottom="0" percent="0" rank="0" text="N/D" dxfId="49">
      <formula>NOT(ISERROR(SEARCH("N/D",R13)))</formula>
    </cfRule>
  </conditionalFormatting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7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A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7" min="6" style="1" width="15"/>
    <col collapsed="false" customWidth="true" hidden="false" outlineLevel="0" max="8" min="8" style="1" width="13"/>
    <col collapsed="false" customWidth="true" hidden="false" outlineLevel="0" max="11" min="9" style="1" width="14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7" min="15" style="1" width="14"/>
    <col collapsed="false" customWidth="true" hidden="false" outlineLevel="0" max="18" min="18" style="1" width="15"/>
    <col collapsed="false" customWidth="true" hidden="false" outlineLevel="0" max="19" min="19" style="1" width="14"/>
    <col collapsed="false" customWidth="true" hidden="false" outlineLevel="0" max="20" min="20" style="1" width="15"/>
    <col collapsed="false" customWidth="true" hidden="false" outlineLevel="0" max="21" min="21" style="1" width="14"/>
    <col collapsed="false" customWidth="true" hidden="false" outlineLevel="0" max="22" min="22" style="1" width="15"/>
    <col collapsed="false" customWidth="true" hidden="false" outlineLevel="0" max="23" min="23" style="1" width="20"/>
    <col collapsed="false" customWidth="true" hidden="false" outlineLevel="0" max="24" min="24" style="1" width="15"/>
    <col collapsed="false" customWidth="true" hidden="false" outlineLevel="0" max="25" min="25" style="1" width="14"/>
    <col collapsed="false" customWidth="true" hidden="false" outlineLevel="0" max="26" min="26" style="1" width="13"/>
    <col collapsed="false" customWidth="true" hidden="false" outlineLevel="0" max="28" min="27" style="1" width="15"/>
    <col collapsed="false" customWidth="true" hidden="false" outlineLevel="0" max="29" min="29" style="1" width="17"/>
    <col collapsed="false" customWidth="true" hidden="false" outlineLevel="0" max="30" min="30" style="1" width="18"/>
    <col collapsed="false" customWidth="true" hidden="false" outlineLevel="0" max="31" min="31" style="1" width="17"/>
    <col collapsed="false" customWidth="true" hidden="false" outlineLevel="0" max="32" min="32" style="1" width="19"/>
    <col collapsed="false" customWidth="true" hidden="false" outlineLevel="0" max="33" min="33" style="1" width="11"/>
  </cols>
  <sheetData>
    <row r="2" customFormat="false" ht="18.55" hidden="false" customHeight="false" outlineLevel="0" collapsed="false">
      <c r="C2" s="2" t="s">
        <v>958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5" hidden="false" customHeight="false" outlineLevel="0" collapsed="false">
      <c r="C4" s="3" t="s">
        <v>1</v>
      </c>
      <c r="D4" s="5" t="str">
        <f aca="false">Assumptions!$D$4</f>
        <v>Base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customFormat="false" ht="24" hidden="false" customHeight="true" outlineLevel="0" collapsed="false">
      <c r="C5" s="46" t="s">
        <v>959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3"/>
    </row>
    <row r="6" customFormat="false" ht="15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customFormat="false" ht="26.85" hidden="false" customHeight="false" outlineLevel="0" collapsed="false">
      <c r="C7" s="10" t="s">
        <v>926</v>
      </c>
      <c r="D7" s="11" t="s">
        <v>928</v>
      </c>
      <c r="E7" s="11" t="s">
        <v>929</v>
      </c>
      <c r="F7" s="11" t="s">
        <v>960</v>
      </c>
      <c r="G7" s="11" t="s">
        <v>961</v>
      </c>
      <c r="H7" s="11" t="s">
        <v>962</v>
      </c>
      <c r="I7" s="11" t="s">
        <v>963</v>
      </c>
      <c r="J7" s="11" t="s">
        <v>964</v>
      </c>
      <c r="K7" s="11" t="s">
        <v>183</v>
      </c>
      <c r="L7" s="11" t="s">
        <v>965</v>
      </c>
      <c r="M7" s="11" t="s">
        <v>966</v>
      </c>
      <c r="N7" s="11" t="s">
        <v>967</v>
      </c>
      <c r="O7" s="11" t="s">
        <v>968</v>
      </c>
      <c r="P7" s="11" t="s">
        <v>969</v>
      </c>
      <c r="Q7" s="11" t="s">
        <v>179</v>
      </c>
      <c r="R7" s="11" t="s">
        <v>970</v>
      </c>
      <c r="S7" s="11" t="s">
        <v>944</v>
      </c>
      <c r="T7" s="11" t="s">
        <v>971</v>
      </c>
      <c r="U7" s="11" t="s">
        <v>972</v>
      </c>
      <c r="V7" s="11" t="s">
        <v>973</v>
      </c>
      <c r="W7" s="11" t="s">
        <v>110</v>
      </c>
      <c r="X7" s="11" t="s">
        <v>974</v>
      </c>
      <c r="Y7" s="11" t="s">
        <v>975</v>
      </c>
      <c r="Z7" s="11" t="s">
        <v>976</v>
      </c>
      <c r="AA7" s="11" t="s">
        <v>673</v>
      </c>
      <c r="AB7" s="11" t="s">
        <v>24</v>
      </c>
      <c r="AC7" s="11" t="s">
        <v>977</v>
      </c>
      <c r="AD7" s="11" t="s">
        <v>978</v>
      </c>
      <c r="AE7" s="11" t="s">
        <v>979</v>
      </c>
      <c r="AF7" s="12" t="s">
        <v>980</v>
      </c>
      <c r="AG7" s="49" t="s">
        <v>957</v>
      </c>
    </row>
    <row r="8" customFormat="false" ht="15" hidden="false" customHeight="false" outlineLevel="0" collapsed="false">
      <c r="C8" s="13" t="n">
        <v>46053</v>
      </c>
      <c r="D8" s="3" t="s">
        <v>691</v>
      </c>
      <c r="E8" s="3" t="s">
        <v>981</v>
      </c>
      <c r="F8" s="16" t="n">
        <f aca="false">Transaction!$D$17</f>
        <v>727.51671875</v>
      </c>
      <c r="G8" s="16" t="n">
        <f aca="false">'Credit Adjustments'!$E$14*(1+Assumptions!$D$21)</f>
        <v>225.344</v>
      </c>
      <c r="H8" s="17" t="n">
        <f aca="false">IF(G8&lt;=0,"",F8/G8)</f>
        <v>3.22847166443304</v>
      </c>
      <c r="I8" s="17" t="str">
        <f aca="false">IF(G8&lt;=0,"N/M",TEXT(H8,"0.00x"))</f>
        <v>3.23x</v>
      </c>
      <c r="J8" s="17" t="n">
        <f aca="false">IF(C8&lt;=DATE(2027,10,31),Assumptions!$D$27,IF(C8&lt;=DATE(2028,10,31),Assumptions!$D$28,Assumptions!$D$29))</f>
        <v>3.5</v>
      </c>
      <c r="K8" s="17" t="n">
        <f aca="false">IF(C8&lt;=DATE(2027,10,31),Assumptions!$D$32,IF(C8&lt;=DATE(2028,10,31),3,2.75))</f>
        <v>3.25</v>
      </c>
      <c r="L8" s="14" t="str">
        <f aca="false">IF(G8&lt;=0,"N/M",IF(H8&gt;J8,"BREACH",IF(H8&gt;=K8,"WARNING","COMPLIANT")))</f>
        <v>COMPLIANT</v>
      </c>
      <c r="M8" s="16" t="str">
        <f aca="false">""</f>
        <v/>
      </c>
      <c r="N8" s="17" t="str">
        <f aca="false">IF(M8="","",IF(M8&lt;=0,"",G8/M8))</f>
        <v/>
      </c>
      <c r="O8" s="17" t="str">
        <f aca="false">IF(M8="","N/D",IF(M8&lt;=0,"N/M",TEXT(N8,"0.00x")))</f>
        <v>N/D</v>
      </c>
      <c r="P8" s="17" t="n">
        <f aca="false">Assumptions!$D$30</f>
        <v>3</v>
      </c>
      <c r="Q8" s="17" t="n">
        <f aca="false">Assumptions!$D$33</f>
        <v>3.5</v>
      </c>
      <c r="R8" s="14" t="str">
        <f aca="false">IF(M8="","N/D",IF(M8&lt;=0,"N/M",IF(N8&lt;P8,"BREACH",IF(N8&lt;Q8,"WARNING","COMPLIANT"))))</f>
        <v>N/D</v>
      </c>
      <c r="S8" s="16" t="n">
        <f aca="false">Liquidity!$D$6</f>
        <v>263.90228125</v>
      </c>
      <c r="T8" s="16" t="str">
        <f aca="false">IF(S8&lt;Assumptions!$D$31,"BREACH",IF(S8&lt;Assumptions!$D$34,"WARNING","COMPLIANT"))</f>
        <v>COMPLIANT</v>
      </c>
      <c r="U8" s="14" t="str">
        <f aca="false">IF(OR(L8="WARNING",R8="WARNING",T8="WARNING"),"WARNING","NONE")</f>
        <v>NONE</v>
      </c>
      <c r="V8" s="14" t="str">
        <f aca="false">IF(OR(L8="BREACH",R8="BREACH",T8="BREACH"),"BREACH",IF(OR(L8="N/M",R8="N/M"),"N/M",IF(OR(L8="N/D",R8="N/D"),"N/D","COMPLIANT")))</f>
        <v>N/D</v>
      </c>
      <c r="W8" s="14" t="str">
        <f aca="false">"AVAILABLE"</f>
        <v>AVAILABLE</v>
      </c>
      <c r="X8" s="14" t="str">
        <f aca="false">IF(OR(I8="N/D",I8="N/M",O8="N/D",O8="N/M"),"INCOMPLETE","COMPLETE")</f>
        <v>INCOMPLETE</v>
      </c>
      <c r="Y8" s="16" t="n">
        <f aca="false">Assumptions!$D$24</f>
        <v>25</v>
      </c>
      <c r="Z8" s="16" t="n">
        <f aca="false">Assumptions!$D$24</f>
        <v>25</v>
      </c>
      <c r="AA8" s="16" t="n">
        <f aca="false">0</f>
        <v>0</v>
      </c>
      <c r="AB8" s="16" t="n">
        <f aca="false">0</f>
        <v>0</v>
      </c>
      <c r="AC8" s="17" t="n">
        <f aca="false">IF(ISNUMBER(H8),J8-H8,"")</f>
        <v>0.271528335566956</v>
      </c>
      <c r="AD8" s="16" t="n">
        <f aca="false">IF(AND(ISNUMBER(G8),G8&gt;0),G8*J8-F8,"")</f>
        <v>61.18728125</v>
      </c>
      <c r="AE8" s="16" t="n">
        <f aca="false">IF(J8&lt;=0,"",F8/J8)</f>
        <v>207.861919642857</v>
      </c>
      <c r="AF8" s="16" t="str">
        <f aca="false">IF(OR(M8="",M8&lt;=0),"",G8-M8*P8)</f>
        <v/>
      </c>
      <c r="AG8" s="19" t="str">
        <f aca="false">TEXT(C8,"mmm-yy")</f>
        <v>Jan-26</v>
      </c>
    </row>
    <row r="9" customFormat="false" ht="15" hidden="false" customHeight="false" outlineLevel="0" collapsed="false">
      <c r="C9" s="13" t="n">
        <v>46142</v>
      </c>
      <c r="D9" s="3" t="s">
        <v>254</v>
      </c>
      <c r="E9" s="3" t="s">
        <v>255</v>
      </c>
      <c r="F9" s="16" t="n">
        <f aca="false">SUMIFS('Debt Schedule'!$Z$12:$Z$47,'Debt Schedule'!$D$12:$D$47,$C9)</f>
        <v>708.093280326988</v>
      </c>
      <c r="G9" s="16" t="n">
        <f aca="false">SUMIFS(Assumptions!$AT$41:$AT$364,Assumptions!$C$41:$C$364,$D$4,Assumptions!$H$41:$H$364,$C9)*(1+Assumptions!$D$21)</f>
        <v>0</v>
      </c>
      <c r="H9" s="17" t="str">
        <f aca="false">IF(G9&lt;=0,"",F9/G9)</f>
        <v/>
      </c>
      <c r="I9" s="17" t="str">
        <f aca="false">IF(G9&lt;=0,"N/M",TEXT(H9,"0.00x"))</f>
        <v>N/M</v>
      </c>
      <c r="J9" s="17" t="n">
        <f aca="false">IF(C9&lt;=DATE(2027,10,31),Assumptions!$D$27,IF(C9&lt;=DATE(2028,10,31),Assumptions!$D$28,Assumptions!$D$29))</f>
        <v>3.5</v>
      </c>
      <c r="K9" s="17" t="n">
        <f aca="false">IF(C9&lt;=DATE(2027,10,31),Assumptions!$D$32,IF(C9&lt;=DATE(2028,10,31),3,2.75))</f>
        <v>3.25</v>
      </c>
      <c r="L9" s="14" t="str">
        <f aca="false">IF(G9&lt;=0,"N/M",IF(H9&gt;J9,"BREACH",IF(H9&gt;=K9,"WARNING","COMPLIANT")))</f>
        <v>N/M</v>
      </c>
      <c r="M9" s="16" t="str">
        <f aca="false">""</f>
        <v/>
      </c>
      <c r="N9" s="17" t="str">
        <f aca="false">IF(M9="","",IF(M9&lt;=0,"",G9/M9))</f>
        <v/>
      </c>
      <c r="O9" s="17" t="str">
        <f aca="false">IF(M9="","N/D",IF(M9&lt;=0,"N/M",TEXT(N9,"0.00x")))</f>
        <v>N/D</v>
      </c>
      <c r="P9" s="17" t="n">
        <f aca="false">Assumptions!$D$30</f>
        <v>3</v>
      </c>
      <c r="Q9" s="17" t="n">
        <f aca="false">Assumptions!$D$33</f>
        <v>3.5</v>
      </c>
      <c r="R9" s="14" t="str">
        <f aca="false">IF(M9="","N/D",IF(M9&lt;=0,"N/M",IF(N9&lt;P9,"BREACH",IF(N9&lt;Q9,"WARNING","COMPLIANT"))))</f>
        <v>N/D</v>
      </c>
      <c r="S9" s="16" t="n">
        <f aca="false">SUMIFS('Debt Schedule'!$AB$12:$AB$47,'Debt Schedule'!$D$12:$D$47,$C9)</f>
        <v>271.419469673012</v>
      </c>
      <c r="T9" s="16" t="str">
        <f aca="false">IF(S9&lt;Assumptions!$D$31,"BREACH",IF(S9&lt;Assumptions!$D$34,"WARNING","COMPLIANT"))</f>
        <v>COMPLIANT</v>
      </c>
      <c r="U9" s="14" t="str">
        <f aca="false">IF(OR(L9="WARNING",R9="WARNING",T9="WARNING"),"WARNING","NONE")</f>
        <v>NONE</v>
      </c>
      <c r="V9" s="14" t="str">
        <f aca="false">IF(OR(L9="BREACH",R9="BREACH",T9="BREACH"),"BREACH",IF(OR(L9="N/M",R9="N/M"),"N/M",IF(OR(L9="N/D",R9="N/D"),"N/D","COMPLIANT")))</f>
        <v>N/M</v>
      </c>
      <c r="W9" s="14" t="str">
        <f aca="false">IF(COUNTIFS('Debt Schedule'!$D$12:$D$47,$C9,'Debt Schedule'!$AD$12:$AD$47,"*shutoff*")&gt;0,"SHUTOFF","AVAILABLE")</f>
        <v>AVAILABLE</v>
      </c>
      <c r="X9" s="14" t="str">
        <f aca="false">IF(OR(I9="N/D",I9="N/M",O9="N/D",O9="N/M"),"INCOMPLETE","COMPLETE")</f>
        <v>INCOMPLETE</v>
      </c>
      <c r="Y9" s="16" t="n">
        <f aca="false">SUMIFS('Debt Schedule'!$W$12:$W$47,'Debt Schedule'!$D$12:$D$47,$C9)</f>
        <v>25</v>
      </c>
      <c r="Z9" s="16" t="n">
        <f aca="false">Assumptions!$D$24</f>
        <v>25</v>
      </c>
      <c r="AA9" s="16" t="n">
        <f aca="false">SUMIFS('Debt Schedule'!$AC$12:$AC$47,'Debt Schedule'!$D$12:$D$47,$C9)</f>
        <v>0</v>
      </c>
      <c r="AB9" s="16" t="n">
        <f aca="false">IF($C9=Assumptions!$D$35,SUMIFS('Debt Schedule'!$X$12:$X$47,'Debt Schedule'!$D$12:$D$47,$C9),0)</f>
        <v>0</v>
      </c>
      <c r="AC9" s="17" t="str">
        <f aca="false">IF(ISNUMBER(H9),J9-H9,"")</f>
        <v/>
      </c>
      <c r="AD9" s="16" t="str">
        <f aca="false">IF(AND(ISNUMBER(G9),G9&gt;0),G9*J9-F9,"")</f>
        <v/>
      </c>
      <c r="AE9" s="16" t="n">
        <f aca="false">IF(J9&lt;=0,"",F9/J9)</f>
        <v>202.312365807711</v>
      </c>
      <c r="AF9" s="16" t="str">
        <f aca="false">IF(OR(M9="",M9&lt;=0),"",G9-M9*P9)</f>
        <v/>
      </c>
      <c r="AG9" s="19" t="str">
        <f aca="false">TEXT(C9,"mmm-yy")</f>
        <v>Apr-26</v>
      </c>
    </row>
    <row r="10" customFormat="false" ht="15" hidden="false" customHeight="false" outlineLevel="0" collapsed="false">
      <c r="C10" s="13" t="n">
        <v>46234</v>
      </c>
      <c r="D10" s="3" t="s">
        <v>254</v>
      </c>
      <c r="E10" s="3" t="s">
        <v>271</v>
      </c>
      <c r="F10" s="16" t="n">
        <f aca="false">SUMIFS('Debt Schedule'!$Z$12:$Z$47,'Debt Schedule'!$D$12:$D$47,$C10)</f>
        <v>688.449248717921</v>
      </c>
      <c r="G10" s="16" t="n">
        <f aca="false">SUMIFS(Assumptions!$AT$41:$AT$364,Assumptions!$C$41:$C$364,$D$4,Assumptions!$H$41:$H$364,$C10)*(1+Assumptions!$D$21)</f>
        <v>0</v>
      </c>
      <c r="H10" s="17" t="str">
        <f aca="false">IF(G10&lt;=0,"",F10/G10)</f>
        <v/>
      </c>
      <c r="I10" s="17" t="str">
        <f aca="false">IF(G10&lt;=0,"N/M",TEXT(H10,"0.00x"))</f>
        <v>N/M</v>
      </c>
      <c r="J10" s="17" t="n">
        <f aca="false">IF(C10&lt;=DATE(2027,10,31),Assumptions!$D$27,IF(C10&lt;=DATE(2028,10,31),Assumptions!$D$28,Assumptions!$D$29))</f>
        <v>3.5</v>
      </c>
      <c r="K10" s="17" t="n">
        <f aca="false">IF(C10&lt;=DATE(2027,10,31),Assumptions!$D$32,IF(C10&lt;=DATE(2028,10,31),3,2.75))</f>
        <v>3.25</v>
      </c>
      <c r="L10" s="14" t="str">
        <f aca="false">IF(G10&lt;=0,"N/M",IF(H10&gt;J10,"BREACH",IF(H10&gt;=K10,"WARNING","COMPLIANT")))</f>
        <v>N/M</v>
      </c>
      <c r="M10" s="16" t="str">
        <f aca="false">""</f>
        <v/>
      </c>
      <c r="N10" s="17" t="str">
        <f aca="false">IF(M10="","",IF(M10&lt;=0,"",G10/M10))</f>
        <v/>
      </c>
      <c r="O10" s="17" t="str">
        <f aca="false">IF(M10="","N/D",IF(M10&lt;=0,"N/M",TEXT(N10,"0.00x")))</f>
        <v>N/D</v>
      </c>
      <c r="P10" s="17" t="n">
        <f aca="false">Assumptions!$D$30</f>
        <v>3</v>
      </c>
      <c r="Q10" s="17" t="n">
        <f aca="false">Assumptions!$D$33</f>
        <v>3.5</v>
      </c>
      <c r="R10" s="14" t="str">
        <f aca="false">IF(M10="","N/D",IF(M10&lt;=0,"N/M",IF(N10&lt;P10,"BREACH",IF(N10&lt;Q10,"WARNING","COMPLIANT"))))</f>
        <v>N/D</v>
      </c>
      <c r="S10" s="16" t="n">
        <f aca="false">SUMIFS('Debt Schedule'!$AB$12:$AB$47,'Debt Schedule'!$D$12:$D$47,$C10)</f>
        <v>279.15725128208</v>
      </c>
      <c r="T10" s="16" t="str">
        <f aca="false">IF(S10&lt;Assumptions!$D$31,"BREACH",IF(S10&lt;Assumptions!$D$34,"WARNING","COMPLIANT"))</f>
        <v>COMPLIANT</v>
      </c>
      <c r="U10" s="14" t="str">
        <f aca="false">IF(OR(L10="WARNING",R10="WARNING",T10="WARNING"),"WARNING","NONE")</f>
        <v>NONE</v>
      </c>
      <c r="V10" s="14" t="str">
        <f aca="false">IF(OR(L10="BREACH",R10="BREACH",T10="BREACH"),"BREACH",IF(OR(L10="N/M",R10="N/M"),"N/M",IF(OR(L10="N/D",R10="N/D"),"N/D","COMPLIANT")))</f>
        <v>N/M</v>
      </c>
      <c r="W10" s="14" t="str">
        <f aca="false">IF(COUNTIFS('Debt Schedule'!$D$12:$D$47,$C10,'Debt Schedule'!$AD$12:$AD$47,"*shutoff*")&gt;0,"SHUTOFF","AVAILABLE")</f>
        <v>AVAILABLE</v>
      </c>
      <c r="X10" s="14" t="str">
        <f aca="false">IF(OR(I10="N/D",I10="N/M",O10="N/D",O10="N/M"),"INCOMPLETE","COMPLETE")</f>
        <v>INCOMPLETE</v>
      </c>
      <c r="Y10" s="16" t="n">
        <f aca="false">SUMIFS('Debt Schedule'!$W$12:$W$47,'Debt Schedule'!$D$12:$D$47,$C10)</f>
        <v>25</v>
      </c>
      <c r="Z10" s="16" t="n">
        <f aca="false">Assumptions!$D$24</f>
        <v>25</v>
      </c>
      <c r="AA10" s="16" t="n">
        <f aca="false">SUMIFS('Debt Schedule'!$AC$12:$AC$47,'Debt Schedule'!$D$12:$D$47,$C10)</f>
        <v>0</v>
      </c>
      <c r="AB10" s="16" t="n">
        <f aca="false">IF($C10=Assumptions!$D$35,SUMIFS('Debt Schedule'!$X$12:$X$47,'Debt Schedule'!$D$12:$D$47,$C10),0)</f>
        <v>0</v>
      </c>
      <c r="AC10" s="17" t="str">
        <f aca="false">IF(ISNUMBER(H10),J10-H10,"")</f>
        <v/>
      </c>
      <c r="AD10" s="16" t="str">
        <f aca="false">IF(AND(ISNUMBER(G10),G10&gt;0),G10*J10-F10,"")</f>
        <v/>
      </c>
      <c r="AE10" s="16" t="n">
        <f aca="false">IF(J10&lt;=0,"",F10/J10)</f>
        <v>196.699785347977</v>
      </c>
      <c r="AF10" s="16" t="str">
        <f aca="false">IF(OR(M10="",M10&lt;=0),"",G10-M10*P10)</f>
        <v/>
      </c>
      <c r="AG10" s="19" t="str">
        <f aca="false">TEXT(C10,"mmm-yy")</f>
        <v>Jul-26</v>
      </c>
    </row>
    <row r="11" customFormat="false" ht="15" hidden="false" customHeight="false" outlineLevel="0" collapsed="false">
      <c r="C11" s="13" t="n">
        <v>46326</v>
      </c>
      <c r="D11" s="3" t="s">
        <v>254</v>
      </c>
      <c r="E11" s="3" t="s">
        <v>288</v>
      </c>
      <c r="F11" s="16" t="n">
        <f aca="false">SUMIFS('Debt Schedule'!$Z$12:$Z$47,'Debt Schedule'!$D$12:$D$47,$C11)</f>
        <v>668.053031514988</v>
      </c>
      <c r="G11" s="16" t="n">
        <f aca="false">SUMIFS(Assumptions!$AT$41:$AT$364,Assumptions!$C$41:$C$364,$D$4,Assumptions!$H$41:$H$364,$C11)*(1+Assumptions!$D$21)</f>
        <v>222.273660738557</v>
      </c>
      <c r="H11" s="17" t="n">
        <f aca="false">IF(G11&lt;=0,"",F11/G11)</f>
        <v>3.00554293880446</v>
      </c>
      <c r="I11" s="17" t="str">
        <f aca="false">IF(G11&lt;=0,"N/M",TEXT(H11,"0.00x"))</f>
        <v>3.01x</v>
      </c>
      <c r="J11" s="17" t="n">
        <f aca="false">IF(C11&lt;=DATE(2027,10,31),Assumptions!$D$27,IF(C11&lt;=DATE(2028,10,31),Assumptions!$D$28,Assumptions!$D$29))</f>
        <v>3.5</v>
      </c>
      <c r="K11" s="17" t="n">
        <f aca="false">IF(C11&lt;=DATE(2027,10,31),Assumptions!$D$32,IF(C11&lt;=DATE(2028,10,31),3,2.75))</f>
        <v>3.25</v>
      </c>
      <c r="L11" s="14" t="str">
        <f aca="false">IF(G11&lt;=0,"N/M",IF(H11&gt;J11,"BREACH",IF(H11&gt;=K11,"WARNING","COMPLIANT")))</f>
        <v>COMPLIANT</v>
      </c>
      <c r="M11" s="16" t="str">
        <f aca="false">""</f>
        <v/>
      </c>
      <c r="N11" s="17" t="str">
        <f aca="false">IF(M11="","",IF(M11&lt;=0,"",G11/M11))</f>
        <v/>
      </c>
      <c r="O11" s="17" t="str">
        <f aca="false">IF(M11="","N/D",IF(M11&lt;=0,"N/M",TEXT(N11,"0.00x")))</f>
        <v>N/D</v>
      </c>
      <c r="P11" s="17" t="n">
        <f aca="false">Assumptions!$D$30</f>
        <v>3</v>
      </c>
      <c r="Q11" s="17" t="n">
        <f aca="false">Assumptions!$D$33</f>
        <v>3.5</v>
      </c>
      <c r="R11" s="14" t="str">
        <f aca="false">IF(M11="","N/D",IF(M11&lt;=0,"N/M",IF(N11&lt;P11,"BREACH",IF(N11&lt;Q11,"WARNING","COMPLIANT"))))</f>
        <v>N/D</v>
      </c>
      <c r="S11" s="16" t="n">
        <f aca="false">SUMIFS('Debt Schedule'!$AB$12:$AB$47,'Debt Schedule'!$D$12:$D$47,$C11)</f>
        <v>287.647218485012</v>
      </c>
      <c r="T11" s="16" t="str">
        <f aca="false">IF(S11&lt;Assumptions!$D$31,"BREACH",IF(S11&lt;Assumptions!$D$34,"WARNING","COMPLIANT"))</f>
        <v>COMPLIANT</v>
      </c>
      <c r="U11" s="14" t="str">
        <f aca="false">IF(OR(L11="WARNING",R11="WARNING",T11="WARNING"),"WARNING","NONE")</f>
        <v>NONE</v>
      </c>
      <c r="V11" s="14" t="str">
        <f aca="false">IF(OR(L11="BREACH",R11="BREACH",T11="BREACH"),"BREACH",IF(OR(L11="N/M",R11="N/M"),"N/M",IF(OR(L11="N/D",R11="N/D"),"N/D","COMPLIANT")))</f>
        <v>N/D</v>
      </c>
      <c r="W11" s="14" t="str">
        <f aca="false">IF(COUNTIFS('Debt Schedule'!$D$12:$D$47,$C11,'Debt Schedule'!$AD$12:$AD$47,"*shutoff*")&gt;0,"SHUTOFF","AVAILABLE")</f>
        <v>AVAILABLE</v>
      </c>
      <c r="X11" s="14" t="str">
        <f aca="false">IF(OR(I11="N/D",I11="N/M",O11="N/D",O11="N/M"),"INCOMPLETE","COMPLETE")</f>
        <v>INCOMPLETE</v>
      </c>
      <c r="Y11" s="16" t="n">
        <f aca="false">SUMIFS('Debt Schedule'!$W$12:$W$47,'Debt Schedule'!$D$12:$D$47,$C11)</f>
        <v>25</v>
      </c>
      <c r="Z11" s="16" t="n">
        <f aca="false">Assumptions!$D$24</f>
        <v>25</v>
      </c>
      <c r="AA11" s="16" t="n">
        <f aca="false">SUMIFS('Debt Schedule'!$AC$12:$AC$47,'Debt Schedule'!$D$12:$D$47,$C11)</f>
        <v>0</v>
      </c>
      <c r="AB11" s="16" t="n">
        <f aca="false">IF($C11=Assumptions!$D$35,SUMIFS('Debt Schedule'!$X$12:$X$47,'Debt Schedule'!$D$12:$D$47,$C11),0)</f>
        <v>0</v>
      </c>
      <c r="AC11" s="17" t="n">
        <f aca="false">IF(ISNUMBER(H11),J11-H11,"")</f>
        <v>0.494457061195541</v>
      </c>
      <c r="AD11" s="16" t="n">
        <f aca="false">IF(AND(ISNUMBER(G11),G11&gt;0),G11*J11-F11,"")</f>
        <v>109.904781069961</v>
      </c>
      <c r="AE11" s="16" t="n">
        <f aca="false">IF(J11&lt;=0,"",F11/J11)</f>
        <v>190.872294718568</v>
      </c>
      <c r="AF11" s="16" t="str">
        <f aca="false">IF(OR(M11="",M11&lt;=0),"",G11-M11*P11)</f>
        <v/>
      </c>
      <c r="AG11" s="19" t="str">
        <f aca="false">TEXT(C11,"mmm-yy")</f>
        <v>Oct-26</v>
      </c>
    </row>
    <row r="12" customFormat="false" ht="15" hidden="false" customHeight="false" outlineLevel="0" collapsed="false">
      <c r="C12" s="13" t="n">
        <v>46418</v>
      </c>
      <c r="D12" s="3" t="s">
        <v>302</v>
      </c>
      <c r="E12" s="3" t="s">
        <v>303</v>
      </c>
      <c r="F12" s="16" t="n">
        <f aca="false">SUMIFS('Debt Schedule'!$Z$12:$Z$47,'Debt Schedule'!$D$12:$D$47,$C12)</f>
        <v>669.241380685664</v>
      </c>
      <c r="G12" s="16" t="n">
        <f aca="false">SUMIFS(Assumptions!$AT$41:$AT$364,Assumptions!$C$41:$C$364,$D$4,Assumptions!$H$41:$H$364,$C12)*(1+Assumptions!$D$21)</f>
        <v>222.272860112964</v>
      </c>
      <c r="H12" s="17" t="n">
        <f aca="false">IF(G12&lt;=0,"",F12/G12)</f>
        <v>3.0109001177451</v>
      </c>
      <c r="I12" s="17" t="str">
        <f aca="false">IF(G12&lt;=0,"N/M",TEXT(H12,"0.00x"))</f>
        <v>3.01x</v>
      </c>
      <c r="J12" s="17" t="n">
        <f aca="false">IF(C12&lt;=DATE(2027,10,31),Assumptions!$D$27,IF(C12&lt;=DATE(2028,10,31),Assumptions!$D$28,Assumptions!$D$29))</f>
        <v>3.5</v>
      </c>
      <c r="K12" s="17" t="n">
        <f aca="false">IF(C12&lt;=DATE(2027,10,31),Assumptions!$D$32,IF(C12&lt;=DATE(2028,10,31),3,2.75))</f>
        <v>3.25</v>
      </c>
      <c r="L12" s="14" t="str">
        <f aca="false">IF(G12&lt;=0,"N/M",IF(H12&gt;J12,"BREACH",IF(H12&gt;=K12,"WARNING","COMPLIANT")))</f>
        <v>COMPLIANT</v>
      </c>
      <c r="M12" s="16" t="n">
        <f aca="false">IF(Assumptions!$D$19="","",SUMIFS('Debt Schedule'!$T$12:$T$47,'Debt Schedule'!$D$12:$D$47,"&gt;"&amp;EDATE($C12,-12),'Debt Schedule'!$D$12:$D$47,"&lt;="&amp;$C12))</f>
        <v>41.2689542306914</v>
      </c>
      <c r="N12" s="17" t="n">
        <f aca="false">IF(M12="","",IF(M12&lt;=0,"",G12/M12))</f>
        <v>5.38595814351074</v>
      </c>
      <c r="O12" s="17" t="str">
        <f aca="false">IF(M12="","N/D",IF(M12&lt;=0,"N/M",TEXT(N12,"0.00x")))</f>
        <v>5.39x</v>
      </c>
      <c r="P12" s="17" t="n">
        <f aca="false">Assumptions!$D$30</f>
        <v>3</v>
      </c>
      <c r="Q12" s="17" t="n">
        <f aca="false">Assumptions!$D$33</f>
        <v>3.5</v>
      </c>
      <c r="R12" s="14" t="str">
        <f aca="false">IF(M12="","N/D",IF(M12&lt;=0,"N/M",IF(N12&lt;P12,"BREACH",IF(N12&lt;Q12,"WARNING","COMPLIANT"))))</f>
        <v>COMPLIANT</v>
      </c>
      <c r="S12" s="16" t="n">
        <f aca="false">SUMIFS('Debt Schedule'!$AB$12:$AB$47,'Debt Schedule'!$D$12:$D$47,$C12)</f>
        <v>274.552619314336</v>
      </c>
      <c r="T12" s="16" t="str">
        <f aca="false">IF(S12&lt;Assumptions!$D$31,"BREACH",IF(S12&lt;Assumptions!$D$34,"WARNING","COMPLIANT"))</f>
        <v>COMPLIANT</v>
      </c>
      <c r="U12" s="14" t="str">
        <f aca="false">IF(OR(L12="WARNING",R12="WARNING",T12="WARNING"),"WARNING","NONE")</f>
        <v>NONE</v>
      </c>
      <c r="V12" s="14" t="str">
        <f aca="false">IF(OR(L12="BREACH",R12="BREACH",T12="BREACH"),"BREACH",IF(OR(L12="N/M",R12="N/M"),"N/M",IF(OR(L12="N/D",R12="N/D"),"N/D","COMPLIANT")))</f>
        <v>COMPLIANT</v>
      </c>
      <c r="W12" s="14" t="str">
        <f aca="false">IF(COUNTIFS('Debt Schedule'!$D$12:$D$47,$C12,'Debt Schedule'!$AD$12:$AD$47,"*shutoff*")&gt;0,"SHUTOFF","AVAILABLE")</f>
        <v>AVAILABLE</v>
      </c>
      <c r="X12" s="14" t="str">
        <f aca="false">IF(OR(I12="N/D",I12="N/M",O12="N/D",O12="N/M"),"INCOMPLETE","COMPLETE")</f>
        <v>COMPLETE</v>
      </c>
      <c r="Y12" s="16" t="n">
        <f aca="false">SUMIFS('Debt Schedule'!$W$12:$W$47,'Debt Schedule'!$D$12:$D$47,$C12)</f>
        <v>25</v>
      </c>
      <c r="Z12" s="16" t="n">
        <f aca="false">Assumptions!$D$24</f>
        <v>25</v>
      </c>
      <c r="AA12" s="16" t="n">
        <f aca="false">SUMIFS('Debt Schedule'!$AC$12:$AC$47,'Debt Schedule'!$D$12:$D$47,$C12)</f>
        <v>0</v>
      </c>
      <c r="AB12" s="16" t="n">
        <f aca="false">IF($C12=Assumptions!$D$35,SUMIFS('Debt Schedule'!$X$12:$X$47,'Debt Schedule'!$D$12:$D$47,$C12),0)</f>
        <v>0</v>
      </c>
      <c r="AC12" s="17" t="n">
        <f aca="false">IF(ISNUMBER(H12),J12-H12,"")</f>
        <v>0.489099882254896</v>
      </c>
      <c r="AD12" s="16" t="n">
        <f aca="false">IF(AND(ISNUMBER(G12),G12&gt;0),G12*J12-F12,"")</f>
        <v>108.71362970971</v>
      </c>
      <c r="AE12" s="16" t="n">
        <f aca="false">IF(J12&lt;=0,"",F12/J12)</f>
        <v>191.211823053047</v>
      </c>
      <c r="AF12" s="16" t="n">
        <f aca="false">IF(OR(M12="",M12&lt;=0),"",G12-M12*P12)</f>
        <v>98.4659974208899</v>
      </c>
      <c r="AG12" s="19" t="str">
        <f aca="false">TEXT(C12,"mmm-yy")</f>
        <v>Jan-27</v>
      </c>
    </row>
    <row r="13" customFormat="false" ht="15" hidden="false" customHeight="false" outlineLevel="0" collapsed="false">
      <c r="C13" s="13" t="n">
        <v>46507</v>
      </c>
      <c r="D13" s="3" t="s">
        <v>302</v>
      </c>
      <c r="E13" s="3" t="s">
        <v>255</v>
      </c>
      <c r="F13" s="16" t="n">
        <f aca="false">SUMIFS('Debt Schedule'!$Z$12:$Z$47,'Debt Schedule'!$D$12:$D$47,$C13)</f>
        <v>647.990887155256</v>
      </c>
      <c r="G13" s="16" t="n">
        <f aca="false">SUMIFS(Assumptions!$AT$41:$AT$364,Assumptions!$C$41:$C$364,$D$4,Assumptions!$H$41:$H$364,$C13)*(1+Assumptions!$D$21)</f>
        <v>222.271280413559</v>
      </c>
      <c r="H13" s="17" t="n">
        <f aca="false">IF(G13&lt;=0,"",F13/G13)</f>
        <v>2.91531540174512</v>
      </c>
      <c r="I13" s="17" t="str">
        <f aca="false">IF(G13&lt;=0,"N/M",TEXT(H13,"0.00x"))</f>
        <v>2.92x</v>
      </c>
      <c r="J13" s="17" t="n">
        <f aca="false">IF(C13&lt;=DATE(2027,10,31),Assumptions!$D$27,IF(C13&lt;=DATE(2028,10,31),Assumptions!$D$28,Assumptions!$D$29))</f>
        <v>3.5</v>
      </c>
      <c r="K13" s="17" t="n">
        <f aca="false">IF(C13&lt;=DATE(2027,10,31),Assumptions!$D$32,IF(C13&lt;=DATE(2028,10,31),3,2.75))</f>
        <v>3.25</v>
      </c>
      <c r="L13" s="14" t="str">
        <f aca="false">IF(G13&lt;=0,"N/M",IF(H13&gt;J13,"BREACH",IF(H13&gt;=K13,"WARNING","COMPLIANT")))</f>
        <v>COMPLIANT</v>
      </c>
      <c r="M13" s="16" t="n">
        <f aca="false">IF(Assumptions!$D$19="","",SUMIFS('Debt Schedule'!$T$12:$T$47,'Debt Schedule'!$D$12:$D$47,"&gt;"&amp;EDATE($C13,-12),'Debt Schedule'!$D$12:$D$47,"&lt;="&amp;$C13))</f>
        <v>40.2968136242367</v>
      </c>
      <c r="N13" s="17" t="n">
        <f aca="false">IF(M13="","",IF(M13&lt;=0,"",G13/M13))</f>
        <v>5.51585250601235</v>
      </c>
      <c r="O13" s="17" t="str">
        <f aca="false">IF(M13="","N/D",IF(M13&lt;=0,"N/M",TEXT(N13,"0.00x")))</f>
        <v>5.52x</v>
      </c>
      <c r="P13" s="17" t="n">
        <f aca="false">Assumptions!$D$30</f>
        <v>3</v>
      </c>
      <c r="Q13" s="17" t="n">
        <f aca="false">Assumptions!$D$33</f>
        <v>3.5</v>
      </c>
      <c r="R13" s="14" t="str">
        <f aca="false">IF(M13="","N/D",IF(M13&lt;=0,"N/M",IF(N13&lt;P13,"BREACH",IF(N13&lt;Q13,"WARNING","COMPLIANT"))))</f>
        <v>COMPLIANT</v>
      </c>
      <c r="S13" s="16" t="n">
        <f aca="false">SUMIFS('Debt Schedule'!$AB$12:$AB$47,'Debt Schedule'!$D$12:$D$47,$C13)</f>
        <v>283.896862844744</v>
      </c>
      <c r="T13" s="16" t="str">
        <f aca="false">IF(S13&lt;Assumptions!$D$31,"BREACH",IF(S13&lt;Assumptions!$D$34,"WARNING","COMPLIANT"))</f>
        <v>COMPLIANT</v>
      </c>
      <c r="U13" s="14" t="str">
        <f aca="false">IF(OR(L13="WARNING",R13="WARNING",T13="WARNING"),"WARNING","NONE")</f>
        <v>NONE</v>
      </c>
      <c r="V13" s="14" t="str">
        <f aca="false">IF(OR(L13="BREACH",R13="BREACH",T13="BREACH"),"BREACH",IF(OR(L13="N/M",R13="N/M"),"N/M",IF(OR(L13="N/D",R13="N/D"),"N/D","COMPLIANT")))</f>
        <v>COMPLIANT</v>
      </c>
      <c r="W13" s="14" t="str">
        <f aca="false">IF(COUNTIFS('Debt Schedule'!$D$12:$D$47,$C13,'Debt Schedule'!$AD$12:$AD$47,"*shutoff*")&gt;0,"SHUTOFF","AVAILABLE")</f>
        <v>AVAILABLE</v>
      </c>
      <c r="X13" s="14" t="str">
        <f aca="false">IF(OR(I13="N/D",I13="N/M",O13="N/D",O13="N/M"),"INCOMPLETE","COMPLETE")</f>
        <v>COMPLETE</v>
      </c>
      <c r="Y13" s="16" t="n">
        <f aca="false">SUMIFS('Debt Schedule'!$W$12:$W$47,'Debt Schedule'!$D$12:$D$47,$C13)</f>
        <v>25</v>
      </c>
      <c r="Z13" s="16" t="n">
        <f aca="false">Assumptions!$D$24</f>
        <v>25</v>
      </c>
      <c r="AA13" s="16" t="n">
        <f aca="false">SUMIFS('Debt Schedule'!$AC$12:$AC$47,'Debt Schedule'!$D$12:$D$47,$C13)</f>
        <v>0</v>
      </c>
      <c r="AB13" s="16" t="n">
        <f aca="false">IF($C13=Assumptions!$D$35,SUMIFS('Debt Schedule'!$X$12:$X$47,'Debt Schedule'!$D$12:$D$47,$C13),0)</f>
        <v>0</v>
      </c>
      <c r="AC13" s="17" t="n">
        <f aca="false">IF(ISNUMBER(H13),J13-H13,"")</f>
        <v>0.584684598254884</v>
      </c>
      <c r="AD13" s="16" t="n">
        <f aca="false">IF(AND(ISNUMBER(G13),G13&gt;0),G13*J13-F13,"")</f>
        <v>129.9585942922</v>
      </c>
      <c r="AE13" s="16" t="n">
        <f aca="false">IF(J13&lt;=0,"",F13/J13)</f>
        <v>185.14025347293</v>
      </c>
      <c r="AF13" s="16" t="n">
        <f aca="false">IF(OR(M13="",M13&lt;=0),"",G13-M13*P13)</f>
        <v>101.380839540849</v>
      </c>
      <c r="AG13" s="19" t="str">
        <f aca="false">TEXT(C13,"mmm-yy")</f>
        <v>Apr-27</v>
      </c>
    </row>
    <row r="14" customFormat="false" ht="15" hidden="false" customHeight="false" outlineLevel="0" collapsed="false">
      <c r="C14" s="13" t="n">
        <v>46599</v>
      </c>
      <c r="D14" s="3" t="s">
        <v>302</v>
      </c>
      <c r="E14" s="3" t="s">
        <v>271</v>
      </c>
      <c r="F14" s="16" t="n">
        <f aca="false">SUMIFS('Debt Schedule'!$Z$12:$Z$47,'Debt Schedule'!$D$12:$D$47,$C14)</f>
        <v>627.209632606511</v>
      </c>
      <c r="G14" s="16" t="n">
        <f aca="false">SUMIFS(Assumptions!$AT$41:$AT$364,Assumptions!$C$41:$C$364,$D$4,Assumptions!$H$41:$H$364,$C14)*(1+Assumptions!$D$21)</f>
        <v>222.269697303883</v>
      </c>
      <c r="H14" s="17" t="n">
        <f aca="false">IF(G14&lt;=0,"",F14/G14)</f>
        <v>2.82184049474365</v>
      </c>
      <c r="I14" s="17" t="str">
        <f aca="false">IF(G14&lt;=0,"N/M",TEXT(H14,"0.00x"))</f>
        <v>2.82x</v>
      </c>
      <c r="J14" s="17" t="n">
        <f aca="false">IF(C14&lt;=DATE(2027,10,31),Assumptions!$D$27,IF(C14&lt;=DATE(2028,10,31),Assumptions!$D$28,Assumptions!$D$29))</f>
        <v>3.5</v>
      </c>
      <c r="K14" s="17" t="n">
        <f aca="false">IF(C14&lt;=DATE(2027,10,31),Assumptions!$D$32,IF(C14&lt;=DATE(2028,10,31),3,2.75))</f>
        <v>3.25</v>
      </c>
      <c r="L14" s="14" t="str">
        <f aca="false">IF(G14&lt;=0,"N/M",IF(H14&gt;J14,"BREACH",IF(H14&gt;=K14,"WARNING","COMPLIANT")))</f>
        <v>COMPLIANT</v>
      </c>
      <c r="M14" s="16" t="n">
        <f aca="false">IF(Assumptions!$D$19="","",SUMIFS('Debt Schedule'!$T$12:$T$47,'Debt Schedule'!$D$12:$D$47,"&gt;"&amp;EDATE($C14,-12),'Debt Schedule'!$D$12:$D$47,"&lt;="&amp;$C14))</f>
        <v>39.3217000348061</v>
      </c>
      <c r="N14" s="17" t="n">
        <f aca="false">IF(M14="","",IF(M14&lt;=0,"",G14/M14))</f>
        <v>5.65259632994347</v>
      </c>
      <c r="O14" s="17" t="str">
        <f aca="false">IF(M14="","N/D",IF(M14&lt;=0,"N/M",TEXT(N14,"0.00x")))</f>
        <v>5.65x</v>
      </c>
      <c r="P14" s="17" t="n">
        <f aca="false">Assumptions!$D$30</f>
        <v>3</v>
      </c>
      <c r="Q14" s="17" t="n">
        <f aca="false">Assumptions!$D$33</f>
        <v>3.5</v>
      </c>
      <c r="R14" s="14" t="str">
        <f aca="false">IF(M14="","N/D",IF(M14&lt;=0,"N/M",IF(N14&lt;P14,"BREACH",IF(N14&lt;Q14,"WARNING","COMPLIANT"))))</f>
        <v>COMPLIANT</v>
      </c>
      <c r="S14" s="16" t="n">
        <f aca="false">SUMIFS('Debt Schedule'!$AB$12:$AB$47,'Debt Schedule'!$D$12:$D$47,$C14)</f>
        <v>292.771867393489</v>
      </c>
      <c r="T14" s="16" t="str">
        <f aca="false">IF(S14&lt;Assumptions!$D$31,"BREACH",IF(S14&lt;Assumptions!$D$34,"WARNING","COMPLIANT"))</f>
        <v>COMPLIANT</v>
      </c>
      <c r="U14" s="14" t="str">
        <f aca="false">IF(OR(L14="WARNING",R14="WARNING",T14="WARNING"),"WARNING","NONE")</f>
        <v>NONE</v>
      </c>
      <c r="V14" s="14" t="str">
        <f aca="false">IF(OR(L14="BREACH",R14="BREACH",T14="BREACH"),"BREACH",IF(OR(L14="N/M",R14="N/M"),"N/M",IF(OR(L14="N/D",R14="N/D"),"N/D","COMPLIANT")))</f>
        <v>COMPLIANT</v>
      </c>
      <c r="W14" s="14" t="str">
        <f aca="false">IF(COUNTIFS('Debt Schedule'!$D$12:$D$47,$C14,'Debt Schedule'!$AD$12:$AD$47,"*shutoff*")&gt;0,"SHUTOFF","AVAILABLE")</f>
        <v>AVAILABLE</v>
      </c>
      <c r="X14" s="14" t="str">
        <f aca="false">IF(OR(I14="N/D",I14="N/M",O14="N/D",O14="N/M"),"INCOMPLETE","COMPLETE")</f>
        <v>COMPLETE</v>
      </c>
      <c r="Y14" s="16" t="n">
        <f aca="false">SUMIFS('Debt Schedule'!$W$12:$W$47,'Debt Schedule'!$D$12:$D$47,$C14)</f>
        <v>25</v>
      </c>
      <c r="Z14" s="16" t="n">
        <f aca="false">Assumptions!$D$24</f>
        <v>25</v>
      </c>
      <c r="AA14" s="16" t="n">
        <f aca="false">SUMIFS('Debt Schedule'!$AC$12:$AC$47,'Debt Schedule'!$D$12:$D$47,$C14)</f>
        <v>0</v>
      </c>
      <c r="AB14" s="16" t="n">
        <f aca="false">IF($C14=Assumptions!$D$35,SUMIFS('Debt Schedule'!$X$12:$X$47,'Debt Schedule'!$D$12:$D$47,$C14),0)</f>
        <v>0</v>
      </c>
      <c r="AC14" s="17" t="n">
        <f aca="false">IF(ISNUMBER(H14),J14-H14,"")</f>
        <v>0.678159505256347</v>
      </c>
      <c r="AD14" s="16" t="n">
        <f aca="false">IF(AND(ISNUMBER(G14),G14&gt;0),G14*J14-F14,"")</f>
        <v>150.734307957079</v>
      </c>
      <c r="AE14" s="16" t="n">
        <f aca="false">IF(J14&lt;=0,"",F14/J14)</f>
        <v>179.202752173289</v>
      </c>
      <c r="AF14" s="16" t="n">
        <f aca="false">IF(OR(M14="",M14&lt;=0),"",G14-M14*P14)</f>
        <v>104.304597199465</v>
      </c>
      <c r="AG14" s="19" t="str">
        <f aca="false">TEXT(C14,"mmm-yy")</f>
        <v>Jul-27</v>
      </c>
    </row>
    <row r="15" customFormat="false" ht="15" hidden="false" customHeight="false" outlineLevel="0" collapsed="false">
      <c r="C15" s="13" t="n">
        <v>46691</v>
      </c>
      <c r="D15" s="3" t="s">
        <v>302</v>
      </c>
      <c r="E15" s="3" t="s">
        <v>288</v>
      </c>
      <c r="F15" s="16" t="n">
        <f aca="false">SUMIFS('Debt Schedule'!$Z$12:$Z$47,'Debt Schedule'!$D$12:$D$47,$C15)</f>
        <v>610.021023115062</v>
      </c>
      <c r="G15" s="16" t="n">
        <f aca="false">SUMIFS(Assumptions!$AT$41:$AT$364,Assumptions!$C$41:$C$364,$D$4,Assumptions!$H$41:$H$364,$C15)*(1+Assumptions!$D$21)</f>
        <v>222.268103897039</v>
      </c>
      <c r="H15" s="17" t="n">
        <f aca="false">IF(G15&lt;=0,"",F15/G15)</f>
        <v>2.744527948093</v>
      </c>
      <c r="I15" s="17" t="str">
        <f aca="false">IF(G15&lt;=0,"N/M",TEXT(H15,"0.00x"))</f>
        <v>2.74x</v>
      </c>
      <c r="J15" s="17" t="n">
        <f aca="false">IF(C15&lt;=DATE(2027,10,31),Assumptions!$D$27,IF(C15&lt;=DATE(2028,10,31),Assumptions!$D$28,Assumptions!$D$29))</f>
        <v>3.5</v>
      </c>
      <c r="K15" s="17" t="n">
        <f aca="false">IF(C15&lt;=DATE(2027,10,31),Assumptions!$D$32,IF(C15&lt;=DATE(2028,10,31),3,2.75))</f>
        <v>3.25</v>
      </c>
      <c r="L15" s="14" t="str">
        <f aca="false">IF(G15&lt;=0,"N/M",IF(H15&gt;J15,"BREACH",IF(H15&gt;=K15,"WARNING","COMPLIANT")))</f>
        <v>COMPLIANT</v>
      </c>
      <c r="M15" s="16" t="n">
        <f aca="false">IF(Assumptions!$D$19="","",SUMIFS('Debt Schedule'!$T$12:$T$47,'Debt Schedule'!$D$12:$D$47,"&gt;"&amp;EDATE($C15,-12),'Debt Schedule'!$D$12:$D$47,"&lt;="&amp;$C15))</f>
        <v>38.43626975764</v>
      </c>
      <c r="N15" s="17" t="n">
        <f aca="false">IF(M15="","",IF(M15&lt;=0,"",G15/M15))</f>
        <v>5.7827699019325</v>
      </c>
      <c r="O15" s="17" t="str">
        <f aca="false">IF(M15="","N/D",IF(M15&lt;=0,"N/M",TEXT(N15,"0.00x")))</f>
        <v>5.78x</v>
      </c>
      <c r="P15" s="17" t="n">
        <f aca="false">Assumptions!$D$30</f>
        <v>3</v>
      </c>
      <c r="Q15" s="17" t="n">
        <f aca="false">Assumptions!$D$33</f>
        <v>3.5</v>
      </c>
      <c r="R15" s="14" t="str">
        <f aca="false">IF(M15="","N/D",IF(M15&lt;=0,"N/M",IF(N15&lt;P15,"BREACH",IF(N15&lt;Q15,"WARNING","COMPLIANT"))))</f>
        <v>COMPLIANT</v>
      </c>
      <c r="S15" s="16" t="n">
        <f aca="false">SUMIFS('Debt Schedule'!$AB$12:$AB$47,'Debt Schedule'!$D$12:$D$47,$C15)</f>
        <v>298.054226884938</v>
      </c>
      <c r="T15" s="16" t="str">
        <f aca="false">IF(S15&lt;Assumptions!$D$31,"BREACH",IF(S15&lt;Assumptions!$D$34,"WARNING","COMPLIANT"))</f>
        <v>COMPLIANT</v>
      </c>
      <c r="U15" s="14" t="str">
        <f aca="false">IF(OR(L15="WARNING",R15="WARNING",T15="WARNING"),"WARNING","NONE")</f>
        <v>NONE</v>
      </c>
      <c r="V15" s="14" t="str">
        <f aca="false">IF(OR(L15="BREACH",R15="BREACH",T15="BREACH"),"BREACH",IF(OR(L15="N/M",R15="N/M"),"N/M",IF(OR(L15="N/D",R15="N/D"),"N/D","COMPLIANT")))</f>
        <v>COMPLIANT</v>
      </c>
      <c r="W15" s="14" t="str">
        <f aca="false">IF(COUNTIFS('Debt Schedule'!$D$12:$D$47,$C15,'Debt Schedule'!$AD$12:$AD$47,"*shutoff*")&gt;0,"SHUTOFF","AVAILABLE")</f>
        <v>AVAILABLE</v>
      </c>
      <c r="X15" s="14" t="str">
        <f aca="false">IF(OR(I15="N/D",I15="N/M",O15="N/D",O15="N/M"),"INCOMPLETE","COMPLETE")</f>
        <v>COMPLETE</v>
      </c>
      <c r="Y15" s="16" t="n">
        <f aca="false">SUMIFS('Debt Schedule'!$W$12:$W$47,'Debt Schedule'!$D$12:$D$47,$C15)</f>
        <v>29.254226884938</v>
      </c>
      <c r="Z15" s="16" t="n">
        <f aca="false">Assumptions!$D$24</f>
        <v>25</v>
      </c>
      <c r="AA15" s="16" t="n">
        <f aca="false">SUMIFS('Debt Schedule'!$AC$12:$AC$47,'Debt Schedule'!$D$12:$D$47,$C15)</f>
        <v>0</v>
      </c>
      <c r="AB15" s="16" t="n">
        <f aca="false">IF($C15=Assumptions!$D$35,SUMIFS('Debt Schedule'!$X$12:$X$47,'Debt Schedule'!$D$12:$D$47,$C15),0)</f>
        <v>0</v>
      </c>
      <c r="AC15" s="17" t="n">
        <f aca="false">IF(ISNUMBER(H15),J15-H15,"")</f>
        <v>0.755472051907001</v>
      </c>
      <c r="AD15" s="16" t="n">
        <f aca="false">IF(AND(ISNUMBER(G15),G15&gt;0),G15*J15-F15,"")</f>
        <v>167.917340524574</v>
      </c>
      <c r="AE15" s="16" t="n">
        <f aca="false">IF(J15&lt;=0,"",F15/J15)</f>
        <v>174.291720890018</v>
      </c>
      <c r="AF15" s="16" t="n">
        <f aca="false">IF(OR(M15="",M15&lt;=0),"",G15-M15*P15)</f>
        <v>106.959294624119</v>
      </c>
      <c r="AG15" s="19" t="str">
        <f aca="false">TEXT(C15,"mmm-yy")</f>
        <v>Oct-27</v>
      </c>
    </row>
    <row r="16" customFormat="false" ht="15" hidden="false" customHeight="false" outlineLevel="0" collapsed="false">
      <c r="C16" s="13" t="n">
        <v>46783</v>
      </c>
      <c r="D16" s="3" t="s">
        <v>328</v>
      </c>
      <c r="E16" s="3" t="s">
        <v>303</v>
      </c>
      <c r="F16" s="16" t="n">
        <f aca="false">SUMIFS('Debt Schedule'!$Z$12:$Z$47,'Debt Schedule'!$D$12:$D$47,$C16)</f>
        <v>605.680493101729</v>
      </c>
      <c r="G16" s="16" t="n">
        <f aca="false">SUMIFS(Assumptions!$AT$41:$AT$364,Assumptions!$C$41:$C$364,$D$4,Assumptions!$H$41:$H$364,$C16)*(1+Assumptions!$D$21)</f>
        <v>222.267303291461</v>
      </c>
      <c r="H16" s="17" t="n">
        <f aca="false">IF(G16&lt;=0,"",F16/G16)</f>
        <v>2.7250094104372</v>
      </c>
      <c r="I16" s="17" t="str">
        <f aca="false">IF(G16&lt;=0,"N/M",TEXT(H16,"0.00x"))</f>
        <v>2.73x</v>
      </c>
      <c r="J16" s="17" t="n">
        <f aca="false">IF(C16&lt;=DATE(2027,10,31),Assumptions!$D$27,IF(C16&lt;=DATE(2028,10,31),Assumptions!$D$28,Assumptions!$D$29))</f>
        <v>3.25</v>
      </c>
      <c r="K16" s="17" t="n">
        <f aca="false">IF(C16&lt;=DATE(2027,10,31),Assumptions!$D$32,IF(C16&lt;=DATE(2028,10,31),3,2.75))</f>
        <v>3</v>
      </c>
      <c r="L16" s="14" t="str">
        <f aca="false">IF(G16&lt;=0,"N/M",IF(H16&gt;J16,"BREACH",IF(H16&gt;=K16,"WARNING","COMPLIANT")))</f>
        <v>COMPLIANT</v>
      </c>
      <c r="M16" s="16" t="n">
        <f aca="false">IF(Assumptions!$D$19="","",SUMIFS('Debt Schedule'!$T$12:$T$47,'Debt Schedule'!$D$12:$D$47,"&gt;"&amp;EDATE($C16,-12),'Debt Schedule'!$D$12:$D$47,"&lt;="&amp;$C16))</f>
        <v>37.4614762488098</v>
      </c>
      <c r="N16" s="17" t="n">
        <f aca="false">IF(M16="","",IF(M16&lt;=0,"",G16/M16))</f>
        <v>5.93322328824462</v>
      </c>
      <c r="O16" s="17" t="str">
        <f aca="false">IF(M16="","N/D",IF(M16&lt;=0,"N/M",TEXT(N16,"0.00x")))</f>
        <v>5.93x</v>
      </c>
      <c r="P16" s="17" t="n">
        <f aca="false">Assumptions!$D$30</f>
        <v>3</v>
      </c>
      <c r="Q16" s="17" t="n">
        <f aca="false">Assumptions!$D$33</f>
        <v>3.5</v>
      </c>
      <c r="R16" s="14" t="str">
        <f aca="false">IF(M16="","N/D",IF(M16&lt;=0,"N/M",IF(N16&lt;P16,"BREACH",IF(N16&lt;Q16,"WARNING","COMPLIANT"))))</f>
        <v>COMPLIANT</v>
      </c>
      <c r="S16" s="16" t="n">
        <f aca="false">SUMIFS('Debt Schedule'!$AB$12:$AB$47,'Debt Schedule'!$D$12:$D$47,$C16)</f>
        <v>286.234280013333</v>
      </c>
      <c r="T16" s="16" t="str">
        <f aca="false">IF(S16&lt;Assumptions!$D$31,"BREACH",IF(S16&lt;Assumptions!$D$34,"WARNING","COMPLIANT"))</f>
        <v>COMPLIANT</v>
      </c>
      <c r="U16" s="14" t="str">
        <f aca="false">IF(OR(L16="WARNING",R16="WARNING",T16="WARNING"),"WARNING","NONE")</f>
        <v>NONE</v>
      </c>
      <c r="V16" s="14" t="str">
        <f aca="false">IF(OR(L16="BREACH",R16="BREACH",T16="BREACH"),"BREACH",IF(OR(L16="N/M",R16="N/M"),"N/M",IF(OR(L16="N/D",R16="N/D"),"N/D","COMPLIANT")))</f>
        <v>COMPLIANT</v>
      </c>
      <c r="W16" s="14" t="str">
        <f aca="false">IF(COUNTIFS('Debt Schedule'!$D$12:$D$47,$C16,'Debt Schedule'!$AD$12:$AD$47,"*shutoff*")&gt;0,"SHUTOFF","AVAILABLE")</f>
        <v>AVAILABLE</v>
      </c>
      <c r="X16" s="14" t="str">
        <f aca="false">IF(OR(I16="N/D",I16="N/M",O16="N/D",O16="N/M"),"INCOMPLETE","COMPLETE")</f>
        <v>COMPLETE</v>
      </c>
      <c r="Y16" s="16" t="n">
        <f aca="false">SUMIFS('Debt Schedule'!$W$12:$W$47,'Debt Schedule'!$D$12:$D$47,$C16)</f>
        <v>25</v>
      </c>
      <c r="Z16" s="16" t="n">
        <f aca="false">Assumptions!$D$24</f>
        <v>25</v>
      </c>
      <c r="AA16" s="16" t="n">
        <f aca="false">SUMIFS('Debt Schedule'!$AC$12:$AC$47,'Debt Schedule'!$D$12:$D$47,$C16)</f>
        <v>0</v>
      </c>
      <c r="AB16" s="16" t="n">
        <f aca="false">IF($C16=Assumptions!$D$35,SUMIFS('Debt Schedule'!$X$12:$X$47,'Debt Schedule'!$D$12:$D$47,$C16),0)</f>
        <v>0</v>
      </c>
      <c r="AC16" s="17" t="n">
        <f aca="false">IF(ISNUMBER(H16),J16-H16,"")</f>
        <v>0.524990589562805</v>
      </c>
      <c r="AD16" s="16" t="n">
        <f aca="false">IF(AND(ISNUMBER(G16),G16&gt;0),G16*J16-F16,"")</f>
        <v>116.688242595519</v>
      </c>
      <c r="AE16" s="16" t="n">
        <f aca="false">IF(J16&lt;=0,"",F16/J16)</f>
        <v>186.363228646686</v>
      </c>
      <c r="AF16" s="16" t="n">
        <f aca="false">IF(OR(M16="",M16&lt;=0),"",G16-M16*P16)</f>
        <v>109.882874545032</v>
      </c>
      <c r="AG16" s="19" t="str">
        <f aca="false">TEXT(C16,"mmm-yy")</f>
        <v>Jan-28</v>
      </c>
    </row>
    <row r="17" customFormat="false" ht="15" hidden="false" customHeight="false" outlineLevel="0" collapsed="false">
      <c r="C17" s="13" t="n">
        <v>46873</v>
      </c>
      <c r="D17" s="3" t="s">
        <v>328</v>
      </c>
      <c r="E17" s="3" t="s">
        <v>255</v>
      </c>
      <c r="F17" s="16" t="n">
        <f aca="false">SUMIFS('Debt Schedule'!$Z$12:$Z$47,'Debt Schedule'!$D$12:$D$47,$C17)</f>
        <v>586.208523115062</v>
      </c>
      <c r="G17" s="16" t="n">
        <f aca="false">SUMIFS(Assumptions!$AT$41:$AT$364,Assumptions!$C$41:$C$364,$D$4,Assumptions!$H$41:$H$364,$C17)*(1+Assumptions!$D$21)</f>
        <v>222.265723631549</v>
      </c>
      <c r="H17" s="17" t="n">
        <f aca="false">IF(G17&lt;=0,"",F17/G17)</f>
        <v>2.6374220619227</v>
      </c>
      <c r="I17" s="17" t="str">
        <f aca="false">IF(G17&lt;=0,"N/M",TEXT(H17,"0.00x"))</f>
        <v>2.64x</v>
      </c>
      <c r="J17" s="17" t="n">
        <f aca="false">IF(C17&lt;=DATE(2027,10,31),Assumptions!$D$27,IF(C17&lt;=DATE(2028,10,31),Assumptions!$D$28,Assumptions!$D$29))</f>
        <v>3.25</v>
      </c>
      <c r="K17" s="17" t="n">
        <f aca="false">IF(C17&lt;=DATE(2027,10,31),Assumptions!$D$32,IF(C17&lt;=DATE(2028,10,31),3,2.75))</f>
        <v>3</v>
      </c>
      <c r="L17" s="14" t="str">
        <f aca="false">IF(G17&lt;=0,"N/M",IF(H17&gt;J17,"BREACH",IF(H17&gt;=K17,"WARNING","COMPLIANT")))</f>
        <v>COMPLIANT</v>
      </c>
      <c r="M17" s="16" t="n">
        <f aca="false">IF(Assumptions!$D$19="","",SUMIFS('Debt Schedule'!$T$12:$T$47,'Debt Schedule'!$D$12:$D$47,"&gt;"&amp;EDATE($C17,-12),'Debt Schedule'!$D$12:$D$47,"&lt;="&amp;$C17))</f>
        <v>36.4558286046462</v>
      </c>
      <c r="N17" s="17" t="n">
        <f aca="false">IF(M17="","",IF(M17&lt;=0,"",G17/M17))</f>
        <v>6.09685013724312</v>
      </c>
      <c r="O17" s="17" t="str">
        <f aca="false">IF(M17="","N/D",IF(M17&lt;=0,"N/M",TEXT(N17,"0.00x")))</f>
        <v>6.10x</v>
      </c>
      <c r="P17" s="17" t="n">
        <f aca="false">Assumptions!$D$30</f>
        <v>3</v>
      </c>
      <c r="Q17" s="17" t="n">
        <f aca="false">Assumptions!$D$33</f>
        <v>3.5</v>
      </c>
      <c r="R17" s="14" t="str">
        <f aca="false">IF(M17="","N/D",IF(M17&lt;=0,"N/M",IF(N17&lt;P17,"BREACH",IF(N17&lt;Q17,"WARNING","COMPLIANT"))))</f>
        <v>COMPLIANT</v>
      </c>
      <c r="S17" s="16" t="n">
        <f aca="false">SUMIFS('Debt Schedule'!$AB$12:$AB$47,'Debt Schedule'!$D$12:$D$47,$C17)</f>
        <v>296.883473114877</v>
      </c>
      <c r="T17" s="16" t="str">
        <f aca="false">IF(S17&lt;Assumptions!$D$31,"BREACH",IF(S17&lt;Assumptions!$D$34,"WARNING","COMPLIANT"))</f>
        <v>COMPLIANT</v>
      </c>
      <c r="U17" s="14" t="str">
        <f aca="false">IF(OR(L17="WARNING",R17="WARNING",T17="WARNING"),"WARNING","NONE")</f>
        <v>NONE</v>
      </c>
      <c r="V17" s="14" t="str">
        <f aca="false">IF(OR(L17="BREACH",R17="BREACH",T17="BREACH"),"BREACH",IF(OR(L17="N/M",R17="N/M"),"N/M",IF(OR(L17="N/D",R17="N/D"),"N/D","COMPLIANT")))</f>
        <v>COMPLIANT</v>
      </c>
      <c r="W17" s="14" t="str">
        <f aca="false">IF(COUNTIFS('Debt Schedule'!$D$12:$D$47,$C17,'Debt Schedule'!$AD$12:$AD$47,"*shutoff*")&gt;0,"SHUTOFF","AVAILABLE")</f>
        <v>AVAILABLE</v>
      </c>
      <c r="X17" s="14" t="str">
        <f aca="false">IF(OR(I17="N/D",I17="N/M",O17="N/D",O17="N/M"),"INCOMPLETE","COMPLETE")</f>
        <v>COMPLETE</v>
      </c>
      <c r="Y17" s="16" t="n">
        <f aca="false">SUMIFS('Debt Schedule'!$W$12:$W$47,'Debt Schedule'!$D$12:$D$47,$C17)</f>
        <v>28.0834731148765</v>
      </c>
      <c r="Z17" s="16" t="n">
        <f aca="false">Assumptions!$D$24</f>
        <v>25</v>
      </c>
      <c r="AA17" s="16" t="n">
        <f aca="false">SUMIFS('Debt Schedule'!$AC$12:$AC$47,'Debt Schedule'!$D$12:$D$47,$C17)</f>
        <v>0</v>
      </c>
      <c r="AB17" s="16" t="n">
        <f aca="false">IF($C17=Assumptions!$D$35,SUMIFS('Debt Schedule'!$X$12:$X$47,'Debt Schedule'!$D$12:$D$47,$C17),0)</f>
        <v>0</v>
      </c>
      <c r="AC17" s="17" t="n">
        <f aca="false">IF(ISNUMBER(H17),J17-H17,"")</f>
        <v>0.612577938077295</v>
      </c>
      <c r="AD17" s="16" t="n">
        <f aca="false">IF(AND(ISNUMBER(G17),G17&gt;0),G17*J17-F17,"")</f>
        <v>136.155078687472</v>
      </c>
      <c r="AE17" s="16" t="n">
        <f aca="false">IF(J17&lt;=0,"",F17/J17)</f>
        <v>180.371853266173</v>
      </c>
      <c r="AF17" s="16" t="n">
        <f aca="false">IF(OR(M17="",M17&lt;=0),"",G17-M17*P17)</f>
        <v>112.89823781761</v>
      </c>
      <c r="AG17" s="19" t="str">
        <f aca="false">TEXT(C17,"mmm-yy")</f>
        <v>Apr-28</v>
      </c>
    </row>
    <row r="18" customFormat="false" ht="15" hidden="false" customHeight="false" outlineLevel="0" collapsed="false">
      <c r="C18" s="13" t="n">
        <v>46965</v>
      </c>
      <c r="D18" s="3" t="s">
        <v>328</v>
      </c>
      <c r="E18" s="3" t="s">
        <v>271</v>
      </c>
      <c r="F18" s="16" t="n">
        <f aca="false">SUMIFS('Debt Schedule'!$Z$12:$Z$47,'Debt Schedule'!$D$12:$D$47,$C18)</f>
        <v>574.302273115062</v>
      </c>
      <c r="G18" s="16" t="n">
        <f aca="false">SUMIFS(Assumptions!$AT$41:$AT$364,Assumptions!$C$41:$C$364,$D$4,Assumptions!$H$41:$H$364,$C18)*(1+Assumptions!$D$21)</f>
        <v>222.26414056145</v>
      </c>
      <c r="H18" s="17" t="n">
        <f aca="false">IF(G18&lt;=0,"",F18/G18)</f>
        <v>2.58387282655829</v>
      </c>
      <c r="I18" s="17" t="str">
        <f aca="false">IF(G18&lt;=0,"N/M",TEXT(H18,"0.00x"))</f>
        <v>2.58x</v>
      </c>
      <c r="J18" s="17" t="n">
        <f aca="false">IF(C18&lt;=DATE(2027,10,31),Assumptions!$D$27,IF(C18&lt;=DATE(2028,10,31),Assumptions!$D$28,Assumptions!$D$29))</f>
        <v>3.25</v>
      </c>
      <c r="K18" s="17" t="n">
        <f aca="false">IF(C18&lt;=DATE(2027,10,31),Assumptions!$D$32,IF(C18&lt;=DATE(2028,10,31),3,2.75))</f>
        <v>3</v>
      </c>
      <c r="L18" s="14" t="str">
        <f aca="false">IF(G18&lt;=0,"N/M",IF(H18&gt;J18,"BREACH",IF(H18&gt;=K18,"WARNING","COMPLIANT")))</f>
        <v>COMPLIANT</v>
      </c>
      <c r="M18" s="16" t="n">
        <f aca="false">IF(Assumptions!$D$19="","",SUMIFS('Debt Schedule'!$T$12:$T$47,'Debt Schedule'!$D$12:$D$47,"&gt;"&amp;EDATE($C18,-12),'Debt Schedule'!$D$12:$D$47,"&lt;="&amp;$C18))</f>
        <v>35.5573257466481</v>
      </c>
      <c r="N18" s="17" t="n">
        <f aca="false">IF(M18="","",IF(M18&lt;=0,"",G18/M18))</f>
        <v>6.25086774368576</v>
      </c>
      <c r="O18" s="17" t="str">
        <f aca="false">IF(M18="","N/D",IF(M18&lt;=0,"N/M",TEXT(N18,"0.00x")))</f>
        <v>6.25x</v>
      </c>
      <c r="P18" s="17" t="n">
        <f aca="false">Assumptions!$D$30</f>
        <v>3</v>
      </c>
      <c r="Q18" s="17" t="n">
        <f aca="false">Assumptions!$D$33</f>
        <v>3.5</v>
      </c>
      <c r="R18" s="14" t="str">
        <f aca="false">IF(M18="","N/D",IF(M18&lt;=0,"N/M",IF(N18&lt;P18,"BREACH",IF(N18&lt;Q18,"WARNING","COMPLIANT"))))</f>
        <v>COMPLIANT</v>
      </c>
      <c r="S18" s="16" t="n">
        <f aca="false">SUMIFS('Debt Schedule'!$AB$12:$AB$47,'Debt Schedule'!$D$12:$D$47,$C18)</f>
        <v>306.95630227482</v>
      </c>
      <c r="T18" s="16" t="str">
        <f aca="false">IF(S18&lt;Assumptions!$D$31,"BREACH",IF(S18&lt;Assumptions!$D$34,"WARNING","COMPLIANT"))</f>
        <v>COMPLIANT</v>
      </c>
      <c r="U18" s="14" t="str">
        <f aca="false">IF(OR(L18="WARNING",R18="WARNING",T18="WARNING"),"WARNING","NONE")</f>
        <v>NONE</v>
      </c>
      <c r="V18" s="14" t="str">
        <f aca="false">IF(OR(L18="BREACH",R18="BREACH",T18="BREACH"),"BREACH",IF(OR(L18="N/M",R18="N/M"),"N/M",IF(OR(L18="N/D",R18="N/D"),"N/D","COMPLIANT")))</f>
        <v>COMPLIANT</v>
      </c>
      <c r="W18" s="14" t="str">
        <f aca="false">IF(COUNTIFS('Debt Schedule'!$D$12:$D$47,$C18,'Debt Schedule'!$AD$12:$AD$47,"*shutoff*")&gt;0,"SHUTOFF","AVAILABLE")</f>
        <v>AVAILABLE</v>
      </c>
      <c r="X18" s="14" t="str">
        <f aca="false">IF(OR(I18="N/D",I18="N/M",O18="N/D",O18="N/M"),"INCOMPLETE","COMPLETE")</f>
        <v>COMPLETE</v>
      </c>
      <c r="Y18" s="16" t="n">
        <f aca="false">SUMIFS('Debt Schedule'!$W$12:$W$47,'Debt Schedule'!$D$12:$D$47,$C18)</f>
        <v>38.1563022748204</v>
      </c>
      <c r="Z18" s="16" t="n">
        <f aca="false">Assumptions!$D$24</f>
        <v>25</v>
      </c>
      <c r="AA18" s="16" t="n">
        <f aca="false">SUMIFS('Debt Schedule'!$AC$12:$AC$47,'Debt Schedule'!$D$12:$D$47,$C18)</f>
        <v>0</v>
      </c>
      <c r="AB18" s="16" t="n">
        <f aca="false">IF($C18=Assumptions!$D$35,SUMIFS('Debt Schedule'!$X$12:$X$47,'Debt Schedule'!$D$12:$D$47,$C18),0)</f>
        <v>0</v>
      </c>
      <c r="AC18" s="17" t="n">
        <f aca="false">IF(ISNUMBER(H18),J18-H18,"")</f>
        <v>0.666127173441714</v>
      </c>
      <c r="AD18" s="16" t="n">
        <f aca="false">IF(AND(ISNUMBER(G18),G18&gt;0),G18*J18-F18,"")</f>
        <v>148.056183709651</v>
      </c>
      <c r="AE18" s="16" t="n">
        <f aca="false">IF(J18&lt;=0,"",F18/J18)</f>
        <v>176.708391727711</v>
      </c>
      <c r="AF18" s="16" t="n">
        <f aca="false">IF(OR(M18="",M18&lt;=0),"",G18-M18*P18)</f>
        <v>115.592163321506</v>
      </c>
      <c r="AG18" s="19" t="str">
        <f aca="false">TEXT(C18,"mmm-yy")</f>
        <v>Jul-28</v>
      </c>
    </row>
    <row r="19" customFormat="false" ht="15" hidden="false" customHeight="false" outlineLevel="0" collapsed="false">
      <c r="C19" s="13" t="n">
        <v>47057</v>
      </c>
      <c r="D19" s="3" t="s">
        <v>328</v>
      </c>
      <c r="E19" s="3" t="s">
        <v>288</v>
      </c>
      <c r="F19" s="16" t="n">
        <f aca="false">SUMIFS('Debt Schedule'!$Z$12:$Z$47,'Debt Schedule'!$D$12:$D$47,$C19)</f>
        <v>550.47245778618</v>
      </c>
      <c r="G19" s="16" t="n">
        <f aca="false">SUMIFS(Assumptions!$AT$41:$AT$364,Assumptions!$C$41:$C$364,$D$4,Assumptions!$H$41:$H$364,$C19)*(1+Assumptions!$D$21)</f>
        <v>222.262547194441</v>
      </c>
      <c r="H19" s="17" t="n">
        <f aca="false">IF(G19&lt;=0,"",F19/G19)</f>
        <v>2.4766766364133</v>
      </c>
      <c r="I19" s="17" t="str">
        <f aca="false">IF(G19&lt;=0,"N/M",TEXT(H19,"0.00x"))</f>
        <v>2.48x</v>
      </c>
      <c r="J19" s="17" t="n">
        <f aca="false">IF(C19&lt;=DATE(2027,10,31),Assumptions!$D$27,IF(C19&lt;=DATE(2028,10,31),Assumptions!$D$28,Assumptions!$D$29))</f>
        <v>3.25</v>
      </c>
      <c r="K19" s="17" t="n">
        <f aca="false">IF(C19&lt;=DATE(2027,10,31),Assumptions!$D$32,IF(C19&lt;=DATE(2028,10,31),3,2.75))</f>
        <v>3</v>
      </c>
      <c r="L19" s="14" t="str">
        <f aca="false">IF(G19&lt;=0,"N/M",IF(H19&gt;J19,"BREACH",IF(H19&gt;=K19,"WARNING","COMPLIANT")))</f>
        <v>COMPLIANT</v>
      </c>
      <c r="M19" s="16" t="n">
        <f aca="false">IF(Assumptions!$D$19="","",SUMIFS('Debt Schedule'!$T$12:$T$47,'Debt Schedule'!$D$12:$D$47,"&gt;"&amp;EDATE($C19,-12),'Debt Schedule'!$D$12:$D$47,"&lt;="&amp;$C19))</f>
        <v>34.7023949320527</v>
      </c>
      <c r="N19" s="17" t="n">
        <f aca="false">IF(M19="","",IF(M19&lt;=0,"",G19/M19))</f>
        <v>6.40481867691354</v>
      </c>
      <c r="O19" s="17" t="str">
        <f aca="false">IF(M19="","N/D",IF(M19&lt;=0,"N/M",TEXT(N19,"0.00x")))</f>
        <v>6.40x</v>
      </c>
      <c r="P19" s="17" t="n">
        <f aca="false">Assumptions!$D$30</f>
        <v>3</v>
      </c>
      <c r="Q19" s="17" t="n">
        <f aca="false">Assumptions!$D$33</f>
        <v>3.5</v>
      </c>
      <c r="R19" s="14" t="str">
        <f aca="false">IF(M19="","N/D",IF(M19&lt;=0,"N/M",IF(N19&lt;P19,"BREACH",IF(N19&lt;Q19,"WARNING","COMPLIANT"))))</f>
        <v>COMPLIANT</v>
      </c>
      <c r="S19" s="16" t="n">
        <f aca="false">SUMIFS('Debt Schedule'!$AB$12:$AB$47,'Debt Schedule'!$D$12:$D$47,$C19)</f>
        <v>305.723565328882</v>
      </c>
      <c r="T19" s="16" t="str">
        <f aca="false">IF(S19&lt;Assumptions!$D$31,"BREACH",IF(S19&lt;Assumptions!$D$34,"WARNING","COMPLIANT"))</f>
        <v>COMPLIANT</v>
      </c>
      <c r="U19" s="14" t="str">
        <f aca="false">IF(OR(L19="WARNING",R19="WARNING",T19="WARNING"),"WARNING","NONE")</f>
        <v>NONE</v>
      </c>
      <c r="V19" s="14" t="str">
        <f aca="false">IF(OR(L19="BREACH",R19="BREACH",T19="BREACH"),"BREACH",IF(OR(L19="N/M",R19="N/M"),"N/M",IF(OR(L19="N/D",R19="N/D"),"N/D","COMPLIANT")))</f>
        <v>COMPLIANT</v>
      </c>
      <c r="W19" s="14" t="str">
        <f aca="false">IF(COUNTIFS('Debt Schedule'!$D$12:$D$47,$C19,'Debt Schedule'!$AD$12:$AD$47,"*shutoff*")&gt;0,"SHUTOFF","AVAILABLE")</f>
        <v>AVAILABLE</v>
      </c>
      <c r="X19" s="14" t="str">
        <f aca="false">IF(OR(I19="N/D",I19="N/M",O19="N/D",O19="N/M"),"INCOMPLETE","COMPLETE")</f>
        <v>COMPLETE</v>
      </c>
      <c r="Y19" s="16" t="n">
        <f aca="false">SUMIFS('Debt Schedule'!$W$12:$W$47,'Debt Schedule'!$D$12:$D$47,$C19)</f>
        <v>36.9235653288816</v>
      </c>
      <c r="Z19" s="16" t="n">
        <f aca="false">Assumptions!$D$24</f>
        <v>25</v>
      </c>
      <c r="AA19" s="16" t="n">
        <f aca="false">SUMIFS('Debt Schedule'!$AC$12:$AC$47,'Debt Schedule'!$D$12:$D$47,$C19)</f>
        <v>0</v>
      </c>
      <c r="AB19" s="16" t="n">
        <f aca="false">IF($C19=Assumptions!$D$35,SUMIFS('Debt Schedule'!$X$12:$X$47,'Debt Schedule'!$D$12:$D$47,$C19),0)</f>
        <v>0</v>
      </c>
      <c r="AC19" s="17" t="n">
        <f aca="false">IF(ISNUMBER(H19),J19-H19,"")</f>
        <v>0.7733233635867</v>
      </c>
      <c r="AD19" s="16" t="n">
        <f aca="false">IF(AND(ISNUMBER(G19),G19&gt;0),G19*J19-F19,"")</f>
        <v>171.880820595753</v>
      </c>
      <c r="AE19" s="16" t="n">
        <f aca="false">IF(J19&lt;=0,"",F19/J19)</f>
        <v>169.376140857286</v>
      </c>
      <c r="AF19" s="16" t="n">
        <f aca="false">IF(OR(M19="",M19&lt;=0),"",G19-M19*P19)</f>
        <v>118.155362398283</v>
      </c>
      <c r="AG19" s="19" t="str">
        <f aca="false">TEXT(C19,"mmm-yy")</f>
        <v>Oct-28</v>
      </c>
    </row>
    <row r="20" customFormat="false" ht="15" hidden="false" customHeight="false" outlineLevel="0" collapsed="false">
      <c r="C20" s="13" t="n">
        <v>47149</v>
      </c>
      <c r="D20" s="3" t="s">
        <v>342</v>
      </c>
      <c r="E20" s="3" t="s">
        <v>303</v>
      </c>
      <c r="F20" s="16" t="n">
        <f aca="false">SUMIFS('Debt Schedule'!$Z$12:$Z$47,'Debt Schedule'!$D$12:$D$47,$C20)</f>
        <v>538.56620778618</v>
      </c>
      <c r="G20" s="16" t="n">
        <f aca="false">SUMIFS(Assumptions!$AT$41:$AT$364,Assumptions!$C$41:$C$364,$D$4,Assumptions!$H$41:$H$364,$C20)*(1+Assumptions!$D$21)</f>
        <v>222.261746608879</v>
      </c>
      <c r="H20" s="17" t="n">
        <f aca="false">IF(G20&lt;=0,"",F20/G20)</f>
        <v>2.42311696008541</v>
      </c>
      <c r="I20" s="17" t="str">
        <f aca="false">IF(G20&lt;=0,"N/M",TEXT(H20,"0.00x"))</f>
        <v>2.42x</v>
      </c>
      <c r="J20" s="17" t="n">
        <f aca="false">IF(C20&lt;=DATE(2027,10,31),Assumptions!$D$27,IF(C20&lt;=DATE(2028,10,31),Assumptions!$D$28,Assumptions!$D$29))</f>
        <v>3</v>
      </c>
      <c r="K20" s="17" t="n">
        <f aca="false">IF(C20&lt;=DATE(2027,10,31),Assumptions!$D$32,IF(C20&lt;=DATE(2028,10,31),3,2.75))</f>
        <v>2.75</v>
      </c>
      <c r="L20" s="14" t="str">
        <f aca="false">IF(G20&lt;=0,"N/M",IF(H20&gt;J20,"BREACH",IF(H20&gt;=K20,"WARNING","COMPLIANT")))</f>
        <v>COMPLIANT</v>
      </c>
      <c r="M20" s="16" t="n">
        <f aca="false">IF(Assumptions!$D$19="","",SUMIFS('Debt Schedule'!$T$12:$T$47,'Debt Schedule'!$D$12:$D$47,"&gt;"&amp;EDATE($C20,-12),'Debt Schedule'!$D$12:$D$47,"&lt;="&amp;$C20))</f>
        <v>33.7035985880635</v>
      </c>
      <c r="N20" s="17" t="n">
        <f aca="false">IF(M20="","",IF(M20&lt;=0,"",G20/M20))</f>
        <v>6.59459986233029</v>
      </c>
      <c r="O20" s="17" t="str">
        <f aca="false">IF(M20="","N/D",IF(M20&lt;=0,"N/M",TEXT(N20,"0.00x")))</f>
        <v>6.59x</v>
      </c>
      <c r="P20" s="17" t="n">
        <f aca="false">Assumptions!$D$30</f>
        <v>3</v>
      </c>
      <c r="Q20" s="17" t="n">
        <f aca="false">Assumptions!$D$33</f>
        <v>3.5</v>
      </c>
      <c r="R20" s="14" t="str">
        <f aca="false">IF(M20="","N/D",IF(M20&lt;=0,"N/M",IF(N20&lt;P20,"BREACH",IF(N20&lt;Q20,"WARNING","COMPLIANT"))))</f>
        <v>COMPLIANT</v>
      </c>
      <c r="S20" s="16" t="n">
        <f aca="false">SUMIFS('Debt Schedule'!$AB$12:$AB$47,'Debt Schedule'!$D$12:$D$47,$C20)</f>
        <v>294.985023601287</v>
      </c>
      <c r="T20" s="16" t="str">
        <f aca="false">IF(S20&lt;Assumptions!$D$31,"BREACH",IF(S20&lt;Assumptions!$D$34,"WARNING","COMPLIANT"))</f>
        <v>COMPLIANT</v>
      </c>
      <c r="U20" s="14" t="str">
        <f aca="false">IF(OR(L20="WARNING",R20="WARNING",T20="WARNING"),"WARNING","NONE")</f>
        <v>NONE</v>
      </c>
      <c r="V20" s="14" t="str">
        <f aca="false">IF(OR(L20="BREACH",R20="BREACH",T20="BREACH"),"BREACH",IF(OR(L20="N/M",R20="N/M"),"N/M",IF(OR(L20="N/D",R20="N/D"),"N/D","COMPLIANT")))</f>
        <v>COMPLIANT</v>
      </c>
      <c r="W20" s="14" t="str">
        <f aca="false">IF(COUNTIFS('Debt Schedule'!$D$12:$D$47,$C20,'Debt Schedule'!$AD$12:$AD$47,"*shutoff*")&gt;0,"SHUTOFF","AVAILABLE")</f>
        <v>AVAILABLE</v>
      </c>
      <c r="X20" s="14" t="str">
        <f aca="false">IF(OR(I20="N/D",I20="N/M",O20="N/D",O20="N/M"),"INCOMPLETE","COMPLETE")</f>
        <v>COMPLETE</v>
      </c>
      <c r="Y20" s="16" t="n">
        <f aca="false">SUMIFS('Debt Schedule'!$W$12:$W$47,'Debt Schedule'!$D$12:$D$47,$C20)</f>
        <v>26.1850236012866</v>
      </c>
      <c r="Z20" s="16" t="n">
        <f aca="false">Assumptions!$D$24</f>
        <v>25</v>
      </c>
      <c r="AA20" s="16" t="n">
        <f aca="false">SUMIFS('Debt Schedule'!$AC$12:$AC$47,'Debt Schedule'!$D$12:$D$47,$C20)</f>
        <v>0</v>
      </c>
      <c r="AB20" s="16" t="n">
        <f aca="false">IF($C20=Assumptions!$D$35,SUMIFS('Debt Schedule'!$X$12:$X$47,'Debt Schedule'!$D$12:$D$47,$C20),0)</f>
        <v>0</v>
      </c>
      <c r="AC20" s="17" t="n">
        <f aca="false">IF(ISNUMBER(H20),J20-H20,"")</f>
        <v>0.576883039914591</v>
      </c>
      <c r="AD20" s="16" t="n">
        <f aca="false">IF(AND(ISNUMBER(G20),G20&gt;0),G20*J20-F20,"")</f>
        <v>128.219032040457</v>
      </c>
      <c r="AE20" s="16" t="n">
        <f aca="false">IF(J20&lt;=0,"",F20/J20)</f>
        <v>179.52206926206</v>
      </c>
      <c r="AF20" s="16" t="n">
        <f aca="false">IF(OR(M20="",M20&lt;=0),"",G20-M20*P20)</f>
        <v>121.150950844689</v>
      </c>
      <c r="AG20" s="19" t="str">
        <f aca="false">TEXT(C20,"mmm-yy")</f>
        <v>Jan-29</v>
      </c>
    </row>
    <row r="21" customFormat="false" ht="15" hidden="false" customHeight="false" outlineLevel="0" collapsed="false">
      <c r="C21" s="13" t="n">
        <v>47238</v>
      </c>
      <c r="D21" s="3" t="s">
        <v>342</v>
      </c>
      <c r="E21" s="3" t="s">
        <v>255</v>
      </c>
      <c r="F21" s="16" t="n">
        <f aca="false">SUMIFS('Debt Schedule'!$Z$12:$Z$47,'Debt Schedule'!$D$12:$D$47,$C21)</f>
        <v>526.65995778618</v>
      </c>
      <c r="G21" s="16" t="n">
        <f aca="false">SUMIFS(Assumptions!$AT$41:$AT$364,Assumptions!$C$41:$C$364,$D$4,Assumptions!$H$41:$H$364,$C21)*(1+Assumptions!$D$21)</f>
        <v>222.260166988458</v>
      </c>
      <c r="H21" s="17" t="n">
        <f aca="false">IF(G21&lt;=0,"",F21/G21)</f>
        <v>2.36956520334807</v>
      </c>
      <c r="I21" s="17" t="str">
        <f aca="false">IF(G21&lt;=0,"N/M",TEXT(H21,"0.00x"))</f>
        <v>2.37x</v>
      </c>
      <c r="J21" s="17" t="n">
        <f aca="false">IF(C21&lt;=DATE(2027,10,31),Assumptions!$D$27,IF(C21&lt;=DATE(2028,10,31),Assumptions!$D$28,Assumptions!$D$29))</f>
        <v>3</v>
      </c>
      <c r="K21" s="17" t="n">
        <f aca="false">IF(C21&lt;=DATE(2027,10,31),Assumptions!$D$32,IF(C21&lt;=DATE(2028,10,31),3,2.75))</f>
        <v>2.75</v>
      </c>
      <c r="L21" s="14" t="str">
        <f aca="false">IF(G21&lt;=0,"N/M",IF(H21&gt;J21,"BREACH",IF(H21&gt;=K21,"WARNING","COMPLIANT")))</f>
        <v>COMPLIANT</v>
      </c>
      <c r="M21" s="16" t="n">
        <f aca="false">IF(Assumptions!$D$19="","",SUMIFS('Debt Schedule'!$T$12:$T$47,'Debt Schedule'!$D$12:$D$47,"&gt;"&amp;EDATE($C21,-12),'Debt Schedule'!$D$12:$D$47,"&lt;="&amp;$C21))</f>
        <v>32.7044081726058</v>
      </c>
      <c r="N21" s="17" t="n">
        <f aca="false">IF(M21="","",IF(M21&lt;=0,"",G21/M21))</f>
        <v>6.79603085356028</v>
      </c>
      <c r="O21" s="17" t="str">
        <f aca="false">IF(M21="","N/D",IF(M21&lt;=0,"N/M",TEXT(N21,"0.00x")))</f>
        <v>6.80x</v>
      </c>
      <c r="P21" s="17" t="n">
        <f aca="false">Assumptions!$D$30</f>
        <v>3</v>
      </c>
      <c r="Q21" s="17" t="n">
        <f aca="false">Assumptions!$D$33</f>
        <v>3.5</v>
      </c>
      <c r="R21" s="14" t="str">
        <f aca="false">IF(M21="","N/D",IF(M21&lt;=0,"N/M",IF(N21&lt;P21,"BREACH",IF(N21&lt;Q21,"WARNING","COMPLIANT"))))</f>
        <v>COMPLIANT</v>
      </c>
      <c r="S21" s="16" t="n">
        <f aca="false">SUMIFS('Debt Schedule'!$AB$12:$AB$47,'Debt Schedule'!$D$12:$D$47,$C21)</f>
        <v>306.715459068962</v>
      </c>
      <c r="T21" s="16" t="str">
        <f aca="false">IF(S21&lt;Assumptions!$D$31,"BREACH",IF(S21&lt;Assumptions!$D$34,"WARNING","COMPLIANT"))</f>
        <v>COMPLIANT</v>
      </c>
      <c r="U21" s="14" t="str">
        <f aca="false">IF(OR(L21="WARNING",R21="WARNING",T21="WARNING"),"WARNING","NONE")</f>
        <v>NONE</v>
      </c>
      <c r="V21" s="14" t="str">
        <f aca="false">IF(OR(L21="BREACH",R21="BREACH",T21="BREACH"),"BREACH",IF(OR(L21="N/M",R21="N/M"),"N/M",IF(OR(L21="N/D",R21="N/D"),"N/D","COMPLIANT")))</f>
        <v>COMPLIANT</v>
      </c>
      <c r="W21" s="14" t="str">
        <f aca="false">IF(COUNTIFS('Debt Schedule'!$D$12:$D$47,$C21,'Debt Schedule'!$AD$12:$AD$47,"*shutoff*")&gt;0,"SHUTOFF","AVAILABLE")</f>
        <v>AVAILABLE</v>
      </c>
      <c r="X21" s="14" t="str">
        <f aca="false">IF(OR(I21="N/D",I21="N/M",O21="N/D",O21="N/M"),"INCOMPLETE","COMPLETE")</f>
        <v>COMPLETE</v>
      </c>
      <c r="Y21" s="16" t="n">
        <f aca="false">SUMIFS('Debt Schedule'!$W$12:$W$47,'Debt Schedule'!$D$12:$D$47,$C21)</f>
        <v>37.915459068962</v>
      </c>
      <c r="Z21" s="16" t="n">
        <f aca="false">Assumptions!$D$24</f>
        <v>25</v>
      </c>
      <c r="AA21" s="16" t="n">
        <f aca="false">SUMIFS('Debt Schedule'!$AC$12:$AC$47,'Debt Schedule'!$D$12:$D$47,$C21)</f>
        <v>0</v>
      </c>
      <c r="AB21" s="16" t="n">
        <f aca="false">IF($C21=Assumptions!$D$35,SUMIFS('Debt Schedule'!$X$12:$X$47,'Debt Schedule'!$D$12:$D$47,$C21),0)</f>
        <v>0</v>
      </c>
      <c r="AC21" s="17" t="n">
        <f aca="false">IF(ISNUMBER(H21),J21-H21,"")</f>
        <v>0.630434796651935</v>
      </c>
      <c r="AD21" s="16" t="n">
        <f aca="false">IF(AND(ISNUMBER(G21),G21&gt;0),G21*J21-F21,"")</f>
        <v>140.120543179194</v>
      </c>
      <c r="AE21" s="16" t="n">
        <f aca="false">IF(J21&lt;=0,"",F21/J21)</f>
        <v>175.55331926206</v>
      </c>
      <c r="AF21" s="16" t="n">
        <f aca="false">IF(OR(M21="",M21&lt;=0),"",G21-M21*P21)</f>
        <v>124.146942470641</v>
      </c>
      <c r="AG21" s="19" t="str">
        <f aca="false">TEXT(C21,"mmm-yy")</f>
        <v>Apr-29</v>
      </c>
    </row>
    <row r="22" customFormat="false" ht="15" hidden="false" customHeight="false" outlineLevel="0" collapsed="false">
      <c r="C22" s="13" t="n">
        <v>47330</v>
      </c>
      <c r="D22" s="3" t="s">
        <v>342</v>
      </c>
      <c r="E22" s="3" t="s">
        <v>271</v>
      </c>
      <c r="F22" s="16" t="n">
        <f aca="false">SUMIFS('Debt Schedule'!$Z$12:$Z$47,'Debt Schedule'!$D$12:$D$47,$C22)</f>
        <v>514.75370778618</v>
      </c>
      <c r="G22" s="16" t="n">
        <f aca="false">SUMIFS(Assumptions!$AT$41:$AT$364,Assumptions!$C$41:$C$364,$D$4,Assumptions!$H$41:$H$364,$C22)*(1+Assumptions!$D$21)</f>
        <v>222.258583957936</v>
      </c>
      <c r="H22" s="17" t="n">
        <f aca="false">IF(G22&lt;=0,"",F22/G22)</f>
        <v>2.3160127209467</v>
      </c>
      <c r="I22" s="17" t="str">
        <f aca="false">IF(G22&lt;=0,"N/M",TEXT(H22,"0.00x"))</f>
        <v>2.32x</v>
      </c>
      <c r="J22" s="17" t="n">
        <f aca="false">IF(C22&lt;=DATE(2027,10,31),Assumptions!$D$27,IF(C22&lt;=DATE(2028,10,31),Assumptions!$D$28,Assumptions!$D$29))</f>
        <v>3</v>
      </c>
      <c r="K22" s="17" t="n">
        <f aca="false">IF(C22&lt;=DATE(2027,10,31),Assumptions!$D$32,IF(C22&lt;=DATE(2028,10,31),3,2.75))</f>
        <v>2.75</v>
      </c>
      <c r="L22" s="14" t="str">
        <f aca="false">IF(G22&lt;=0,"N/M",IF(H22&gt;J22,"BREACH",IF(H22&gt;=K22,"WARNING","COMPLIANT")))</f>
        <v>COMPLIANT</v>
      </c>
      <c r="M22" s="16" t="n">
        <f aca="false">IF(Assumptions!$D$19="","",SUMIFS('Debt Schedule'!$T$12:$T$47,'Debt Schedule'!$D$12:$D$47,"&gt;"&amp;EDATE($C22,-12),'Debt Schedule'!$D$12:$D$47,"&lt;="&amp;$C22))</f>
        <v>31.7263229870789</v>
      </c>
      <c r="N22" s="17" t="n">
        <f aca="false">IF(M22="","",IF(M22&lt;=0,"",G22/M22))</f>
        <v>7.00549458720616</v>
      </c>
      <c r="O22" s="17" t="str">
        <f aca="false">IF(M22="","N/D",IF(M22&lt;=0,"N/M",TEXT(N22,"0.00x")))</f>
        <v>7.01x</v>
      </c>
      <c r="P22" s="17" t="n">
        <f aca="false">Assumptions!$D$30</f>
        <v>3</v>
      </c>
      <c r="Q22" s="17" t="n">
        <f aca="false">Assumptions!$D$33</f>
        <v>3.5</v>
      </c>
      <c r="R22" s="14" t="str">
        <f aca="false">IF(M22="","N/D",IF(M22&lt;=0,"N/M",IF(N22&lt;P22,"BREACH",IF(N22&lt;Q22,"WARNING","COMPLIANT"))))</f>
        <v>COMPLIANT</v>
      </c>
      <c r="S22" s="16" t="n">
        <f aca="false">SUMIFS('Debt Schedule'!$AB$12:$AB$47,'Debt Schedule'!$D$12:$D$47,$C22)</f>
        <v>317.84844519084</v>
      </c>
      <c r="T22" s="16" t="str">
        <f aca="false">IF(S22&lt;Assumptions!$D$31,"BREACH",IF(S22&lt;Assumptions!$D$34,"WARNING","COMPLIANT"))</f>
        <v>COMPLIANT</v>
      </c>
      <c r="U22" s="14" t="str">
        <f aca="false">IF(OR(L22="WARNING",R22="WARNING",T22="WARNING"),"WARNING","NONE")</f>
        <v>NONE</v>
      </c>
      <c r="V22" s="14" t="str">
        <f aca="false">IF(OR(L22="BREACH",R22="BREACH",T22="BREACH"),"BREACH",IF(OR(L22="N/M",R22="N/M"),"N/M",IF(OR(L22="N/D",R22="N/D"),"N/D","COMPLIANT")))</f>
        <v>COMPLIANT</v>
      </c>
      <c r="W22" s="14" t="str">
        <f aca="false">IF(COUNTIFS('Debt Schedule'!$D$12:$D$47,$C22,'Debt Schedule'!$AD$12:$AD$47,"*shutoff*")&gt;0,"SHUTOFF","AVAILABLE")</f>
        <v>AVAILABLE</v>
      </c>
      <c r="X22" s="14" t="str">
        <f aca="false">IF(OR(I22="N/D",I22="N/M",O22="N/D",O22="N/M"),"INCOMPLETE","COMPLETE")</f>
        <v>COMPLETE</v>
      </c>
      <c r="Y22" s="16" t="n">
        <f aca="false">SUMIFS('Debt Schedule'!$W$12:$W$47,'Debt Schedule'!$D$12:$D$47,$C22)</f>
        <v>49.0484451908398</v>
      </c>
      <c r="Z22" s="16" t="n">
        <f aca="false">Assumptions!$D$24</f>
        <v>25</v>
      </c>
      <c r="AA22" s="16" t="n">
        <f aca="false">SUMIFS('Debt Schedule'!$AC$12:$AC$47,'Debt Schedule'!$D$12:$D$47,$C22)</f>
        <v>0</v>
      </c>
      <c r="AB22" s="16" t="n">
        <f aca="false">IF($C22=Assumptions!$D$35,SUMIFS('Debt Schedule'!$X$12:$X$47,'Debt Schedule'!$D$12:$D$47,$C22),0)</f>
        <v>0</v>
      </c>
      <c r="AC22" s="17" t="n">
        <f aca="false">IF(ISNUMBER(H22),J22-H22,"")</f>
        <v>0.683987279053298</v>
      </c>
      <c r="AD22" s="16" t="n">
        <f aca="false">IF(AND(ISNUMBER(G22),G22&gt;0),G22*J22-F22,"")</f>
        <v>152.022044087628</v>
      </c>
      <c r="AE22" s="16" t="n">
        <f aca="false">IF(J22&lt;=0,"",F22/J22)</f>
        <v>171.58456926206</v>
      </c>
      <c r="AF22" s="16" t="n">
        <f aca="false">IF(OR(M22="",M22&lt;=0),"",G22-M22*P22)</f>
        <v>127.079614996699</v>
      </c>
      <c r="AG22" s="19" t="str">
        <f aca="false">TEXT(C22,"mmm-yy")</f>
        <v>Jul-29</v>
      </c>
    </row>
    <row r="23" customFormat="false" ht="15" hidden="false" customHeight="false" outlineLevel="0" collapsed="false">
      <c r="C23" s="13" t="n">
        <v>47422</v>
      </c>
      <c r="D23" s="3" t="s">
        <v>342</v>
      </c>
      <c r="E23" s="3" t="s">
        <v>288</v>
      </c>
      <c r="F23" s="16" t="n">
        <f aca="false">SUMIFS('Debt Schedule'!$Z$12:$Z$47,'Debt Schedule'!$D$12:$D$47,$C23)</f>
        <v>484.94774779881</v>
      </c>
      <c r="G23" s="16" t="n">
        <f aca="false">SUMIFS(Assumptions!$AT$41:$AT$364,Assumptions!$C$41:$C$364,$D$4,Assumptions!$H$41:$H$364,$C23)*(1+Assumptions!$D$21)</f>
        <v>222.256990630761</v>
      </c>
      <c r="H23" s="17" t="n">
        <f aca="false">IF(G23&lt;=0,"",F23/G23)</f>
        <v>2.18192348606241</v>
      </c>
      <c r="I23" s="17" t="str">
        <f aca="false">IF(G23&lt;=0,"N/M",TEXT(H23,"0.00x"))</f>
        <v>2.18x</v>
      </c>
      <c r="J23" s="17" t="n">
        <f aca="false">IF(C23&lt;=DATE(2027,10,31),Assumptions!$D$27,IF(C23&lt;=DATE(2028,10,31),Assumptions!$D$28,Assumptions!$D$29))</f>
        <v>3</v>
      </c>
      <c r="K23" s="17" t="n">
        <f aca="false">IF(C23&lt;=DATE(2027,10,31),Assumptions!$D$32,IF(C23&lt;=DATE(2028,10,31),3,2.75))</f>
        <v>2.75</v>
      </c>
      <c r="L23" s="14" t="str">
        <f aca="false">IF(G23&lt;=0,"N/M",IF(H23&gt;J23,"BREACH",IF(H23&gt;=K23,"WARNING","COMPLIANT")))</f>
        <v>COMPLIANT</v>
      </c>
      <c r="M23" s="16" t="n">
        <f aca="false">IF(Assumptions!$D$19="","",SUMIFS('Debt Schedule'!$T$12:$T$47,'Debt Schedule'!$D$12:$D$47,"&gt;"&amp;EDATE($C23,-12),'Debt Schedule'!$D$12:$D$47,"&lt;="&amp;$C23))</f>
        <v>30.7482378015521</v>
      </c>
      <c r="N23" s="17" t="n">
        <f aca="false">IF(M23="","",IF(M23&lt;=0,"",G23/M23))</f>
        <v>7.22828384719798</v>
      </c>
      <c r="O23" s="17" t="str">
        <f aca="false">IF(M23="","N/D",IF(M23&lt;=0,"N/M",TEXT(N23,"0.00x")))</f>
        <v>7.23x</v>
      </c>
      <c r="P23" s="17" t="n">
        <f aca="false">Assumptions!$D$30</f>
        <v>3</v>
      </c>
      <c r="Q23" s="17" t="n">
        <f aca="false">Assumptions!$D$33</f>
        <v>3.5</v>
      </c>
      <c r="R23" s="14" t="str">
        <f aca="false">IF(M23="","N/D",IF(M23&lt;=0,"N/M",IF(N23&lt;P23,"BREACH",IF(N23&lt;Q23,"WARNING","COMPLIANT"))))</f>
        <v>COMPLIANT</v>
      </c>
      <c r="S23" s="16" t="n">
        <f aca="false">SUMIFS('Debt Schedule'!$AB$12:$AB$47,'Debt Schedule'!$D$12:$D$47,$C23)</f>
        <v>311.69970998737</v>
      </c>
      <c r="T23" s="16" t="str">
        <f aca="false">IF(S23&lt;Assumptions!$D$31,"BREACH",IF(S23&lt;Assumptions!$D$34,"WARNING","COMPLIANT"))</f>
        <v>COMPLIANT</v>
      </c>
      <c r="U23" s="14" t="str">
        <f aca="false">IF(OR(L23="WARNING",R23="WARNING",T23="WARNING"),"WARNING","NONE")</f>
        <v>NONE</v>
      </c>
      <c r="V23" s="14" t="str">
        <f aca="false">IF(OR(L23="BREACH",R23="BREACH",T23="BREACH"),"BREACH",IF(OR(L23="N/M",R23="N/M"),"N/M",IF(OR(L23="N/D",R23="N/D"),"N/D","COMPLIANT")))</f>
        <v>COMPLIANT</v>
      </c>
      <c r="W23" s="14" t="str">
        <f aca="false">IF(COUNTIFS('Debt Schedule'!$D$12:$D$47,$C23,'Debt Schedule'!$AD$12:$AD$47,"*shutoff*")&gt;0,"SHUTOFF","AVAILABLE")</f>
        <v>AVAILABLE</v>
      </c>
      <c r="X23" s="14" t="str">
        <f aca="false">IF(OR(I23="N/D",I23="N/M",O23="N/D",O23="N/M"),"INCOMPLETE","COMPLETE")</f>
        <v>COMPLETE</v>
      </c>
      <c r="Y23" s="16" t="n">
        <f aca="false">SUMIFS('Debt Schedule'!$W$12:$W$47,'Debt Schedule'!$D$12:$D$47,$C23)</f>
        <v>42.89970998737</v>
      </c>
      <c r="Z23" s="16" t="n">
        <f aca="false">Assumptions!$D$24</f>
        <v>25</v>
      </c>
      <c r="AA23" s="16" t="n">
        <f aca="false">SUMIFS('Debt Schedule'!$AC$12:$AC$47,'Debt Schedule'!$D$12:$D$47,$C23)</f>
        <v>0</v>
      </c>
      <c r="AB23" s="16" t="n">
        <f aca="false">IF($C23=Assumptions!$D$35,SUMIFS('Debt Schedule'!$X$12:$X$47,'Debt Schedule'!$D$12:$D$47,$C23),0)</f>
        <v>0</v>
      </c>
      <c r="AC23" s="17" t="n">
        <f aca="false">IF(ISNUMBER(H23),J23-H23,"")</f>
        <v>0.81807651393759</v>
      </c>
      <c r="AD23" s="16" t="n">
        <f aca="false">IF(AND(ISNUMBER(G23),G23&gt;0),G23*J23-F23,"")</f>
        <v>181.823224093473</v>
      </c>
      <c r="AE23" s="16" t="n">
        <f aca="false">IF(J23&lt;=0,"",F23/J23)</f>
        <v>161.64924926627</v>
      </c>
      <c r="AF23" s="16" t="n">
        <f aca="false">IF(OR(M23="",M23&lt;=0),"",G23-M23*P23)</f>
        <v>130.012277226105</v>
      </c>
      <c r="AG23" s="19" t="str">
        <f aca="false">TEXT(C23,"mmm-yy")</f>
        <v>Oct-29</v>
      </c>
    </row>
    <row r="24" customFormat="false" ht="15" hidden="false" customHeight="false" outlineLevel="0" collapsed="false">
      <c r="C24" s="13" t="n">
        <v>47514</v>
      </c>
      <c r="D24" s="3" t="s">
        <v>351</v>
      </c>
      <c r="E24" s="3" t="s">
        <v>303</v>
      </c>
      <c r="F24" s="16" t="n">
        <f aca="false">SUMIFS('Debt Schedule'!$Z$12:$Z$47,'Debt Schedule'!$D$12:$D$47,$C24)</f>
        <v>473.04149779881</v>
      </c>
      <c r="G24" s="16" t="n">
        <f aca="false">SUMIFS(Assumptions!$AT$41:$AT$364,Assumptions!$C$41:$C$364,$D$4,Assumptions!$H$41:$H$364,$C24)*(1+Assumptions!$D$21)</f>
        <v>222.256190065214</v>
      </c>
      <c r="H24" s="17" t="n">
        <f aca="false">IF(G24&lt;=0,"",F24/G24)</f>
        <v>2.12836140878691</v>
      </c>
      <c r="I24" s="17" t="str">
        <f aca="false">IF(G24&lt;=0,"N/M",TEXT(H24,"0.00x"))</f>
        <v>2.13x</v>
      </c>
      <c r="J24" s="17" t="n">
        <f aca="false">IF(C24&lt;=DATE(2027,10,31),Assumptions!$D$27,IF(C24&lt;=DATE(2028,10,31),Assumptions!$D$28,Assumptions!$D$29))</f>
        <v>3</v>
      </c>
      <c r="K24" s="17" t="n">
        <f aca="false">IF(C24&lt;=DATE(2027,10,31),Assumptions!$D$32,IF(C24&lt;=DATE(2028,10,31),3,2.75))</f>
        <v>2.75</v>
      </c>
      <c r="L24" s="14" t="str">
        <f aca="false">IF(G24&lt;=0,"N/M",IF(H24&gt;J24,"BREACH",IF(H24&gt;=K24,"WARNING","COMPLIANT")))</f>
        <v>COMPLIANT</v>
      </c>
      <c r="M24" s="16" t="n">
        <f aca="false">IF(Assumptions!$D$19="","",SUMIFS('Debt Schedule'!$T$12:$T$47,'Debt Schedule'!$D$12:$D$47,"&gt;"&amp;EDATE($C24,-12),'Debt Schedule'!$D$12:$D$47,"&lt;="&amp;$C24))</f>
        <v>29.6719944400095</v>
      </c>
      <c r="N24" s="17" t="n">
        <f aca="false">IF(M24="","",IF(M24&lt;=0,"",G24/M24))</f>
        <v>7.49043649608957</v>
      </c>
      <c r="O24" s="17" t="str">
        <f aca="false">IF(M24="","N/D",IF(M24&lt;=0,"N/M",TEXT(N24,"0.00x")))</f>
        <v>7.49x</v>
      </c>
      <c r="P24" s="17" t="n">
        <f aca="false">Assumptions!$D$30</f>
        <v>3</v>
      </c>
      <c r="Q24" s="17" t="n">
        <f aca="false">Assumptions!$D$33</f>
        <v>3.5</v>
      </c>
      <c r="R24" s="14" t="str">
        <f aca="false">IF(M24="","N/D",IF(M24&lt;=0,"N/M",IF(N24&lt;P24,"BREACH",IF(N24&lt;Q24,"WARNING","COMPLIANT"))))</f>
        <v>COMPLIANT</v>
      </c>
      <c r="S24" s="16" t="n">
        <f aca="false">SUMIFS('Debt Schedule'!$AB$12:$AB$47,'Debt Schedule'!$D$12:$D$47,$C24)</f>
        <v>302.125020431119</v>
      </c>
      <c r="T24" s="16" t="str">
        <f aca="false">IF(S24&lt;Assumptions!$D$31,"BREACH",IF(S24&lt;Assumptions!$D$34,"WARNING","COMPLIANT"))</f>
        <v>COMPLIANT</v>
      </c>
      <c r="U24" s="14" t="str">
        <f aca="false">IF(OR(L24="WARNING",R24="WARNING",T24="WARNING"),"WARNING","NONE")</f>
        <v>NONE</v>
      </c>
      <c r="V24" s="14" t="str">
        <f aca="false">IF(OR(L24="BREACH",R24="BREACH",T24="BREACH"),"BREACH",IF(OR(L24="N/M",R24="N/M"),"N/M",IF(OR(L24="N/D",R24="N/D"),"N/D","COMPLIANT")))</f>
        <v>COMPLIANT</v>
      </c>
      <c r="W24" s="14" t="str">
        <f aca="false">IF(COUNTIFS('Debt Schedule'!$D$12:$D$47,$C24,'Debt Schedule'!$AD$12:$AD$47,"*shutoff*")&gt;0,"SHUTOFF","AVAILABLE")</f>
        <v>AVAILABLE</v>
      </c>
      <c r="X24" s="14" t="str">
        <f aca="false">IF(OR(I24="N/D",I24="N/M",O24="N/D",O24="N/M"),"INCOMPLETE","COMPLETE")</f>
        <v>COMPLETE</v>
      </c>
      <c r="Y24" s="16" t="n">
        <f aca="false">SUMIFS('Debt Schedule'!$W$12:$W$47,'Debt Schedule'!$D$12:$D$47,$C24)</f>
        <v>33.3250204311185</v>
      </c>
      <c r="Z24" s="16" t="n">
        <f aca="false">Assumptions!$D$24</f>
        <v>25</v>
      </c>
      <c r="AA24" s="16" t="n">
        <f aca="false">SUMIFS('Debt Schedule'!$AC$12:$AC$47,'Debt Schedule'!$D$12:$D$47,$C24)</f>
        <v>0</v>
      </c>
      <c r="AB24" s="16" t="n">
        <f aca="false">IF($C24=Assumptions!$D$35,SUMIFS('Debt Schedule'!$X$12:$X$47,'Debt Schedule'!$D$12:$D$47,$C24),0)</f>
        <v>0</v>
      </c>
      <c r="AC24" s="17" t="n">
        <f aca="false">IF(ISNUMBER(H24),J24-H24,"")</f>
        <v>0.871638591213089</v>
      </c>
      <c r="AD24" s="16" t="n">
        <f aca="false">IF(AND(ISNUMBER(G24),G24&gt;0),G24*J24-F24,"")</f>
        <v>193.727072396832</v>
      </c>
      <c r="AE24" s="16" t="n">
        <f aca="false">IF(J24&lt;=0,"",F24/J24)</f>
        <v>157.68049926627</v>
      </c>
      <c r="AF24" s="16" t="n">
        <f aca="false">IF(OR(M24="",M24&lt;=0),"",G24-M24*P24)</f>
        <v>133.240206745186</v>
      </c>
      <c r="AG24" s="19" t="str">
        <f aca="false">TEXT(C24,"mmm-yy")</f>
        <v>Jan-30</v>
      </c>
    </row>
    <row r="25" customFormat="false" ht="15" hidden="false" customHeight="false" outlineLevel="0" collapsed="false">
      <c r="C25" s="13" t="n">
        <v>47603</v>
      </c>
      <c r="D25" s="3" t="s">
        <v>351</v>
      </c>
      <c r="E25" s="3" t="s">
        <v>255</v>
      </c>
      <c r="F25" s="16" t="n">
        <f aca="false">SUMIFS('Debt Schedule'!$Z$12:$Z$47,'Debt Schedule'!$D$12:$D$47,$C25)</f>
        <v>461.13524779881</v>
      </c>
      <c r="G25" s="16" t="n">
        <f aca="false">SUMIFS(Assumptions!$AT$41:$AT$364,Assumptions!$C$41:$C$364,$D$4,Assumptions!$H$41:$H$364,$C25)*(1+Assumptions!$D$21)</f>
        <v>222.254610484284</v>
      </c>
      <c r="H25" s="17" t="n">
        <f aca="false">IF(G25&lt;=0,"",F25/G25)</f>
        <v>2.07480621794083</v>
      </c>
      <c r="I25" s="17" t="str">
        <f aca="false">IF(G25&lt;=0,"N/M",TEXT(H25,"0.00x"))</f>
        <v>2.07x</v>
      </c>
      <c r="J25" s="17" t="n">
        <f aca="false">IF(C25&lt;=DATE(2027,10,31),Assumptions!$D$27,IF(C25&lt;=DATE(2028,10,31),Assumptions!$D$28,Assumptions!$D$29))</f>
        <v>3</v>
      </c>
      <c r="K25" s="17" t="n">
        <f aca="false">IF(C25&lt;=DATE(2027,10,31),Assumptions!$D$32,IF(C25&lt;=DATE(2028,10,31),3,2.75))</f>
        <v>2.75</v>
      </c>
      <c r="L25" s="14" t="str">
        <f aca="false">IF(G25&lt;=0,"N/M",IF(H25&gt;J25,"BREACH",IF(H25&gt;=K25,"WARNING","COMPLIANT")))</f>
        <v>COMPLIANT</v>
      </c>
      <c r="M25" s="16" t="n">
        <f aca="false">IF(Assumptions!$D$19="","",SUMIFS('Debt Schedule'!$T$12:$T$47,'Debt Schedule'!$D$12:$D$47,"&gt;"&amp;EDATE($C25,-12),'Debt Schedule'!$D$12:$D$47,"&lt;="&amp;$C25))</f>
        <v>28.595751078467</v>
      </c>
      <c r="N25" s="17" t="n">
        <f aca="false">IF(M25="","",IF(M25&lt;=0,"",G25/M25))</f>
        <v>7.77229490753419</v>
      </c>
      <c r="O25" s="17" t="str">
        <f aca="false">IF(M25="","N/D",IF(M25&lt;=0,"N/M",TEXT(N25,"0.00x")))</f>
        <v>7.77x</v>
      </c>
      <c r="P25" s="17" t="n">
        <f aca="false">Assumptions!$D$30</f>
        <v>3</v>
      </c>
      <c r="Q25" s="17" t="n">
        <f aca="false">Assumptions!$D$33</f>
        <v>3.5</v>
      </c>
      <c r="R25" s="14" t="str">
        <f aca="false">IF(M25="","N/D",IF(M25&lt;=0,"N/M",IF(N25&lt;P25,"BREACH",IF(N25&lt;Q25,"WARNING","COMPLIANT"))))</f>
        <v>COMPLIANT</v>
      </c>
      <c r="S25" s="16" t="n">
        <f aca="false">SUMIFS('Debt Schedule'!$AB$12:$AB$47,'Debt Schedule'!$D$12:$D$47,$C25)</f>
        <v>315.018751234712</v>
      </c>
      <c r="T25" s="16" t="str">
        <f aca="false">IF(S25&lt;Assumptions!$D$31,"BREACH",IF(S25&lt;Assumptions!$D$34,"WARNING","COMPLIANT"))</f>
        <v>COMPLIANT</v>
      </c>
      <c r="U25" s="14" t="str">
        <f aca="false">IF(OR(L25="WARNING",R25="WARNING",T25="WARNING"),"WARNING","NONE")</f>
        <v>NONE</v>
      </c>
      <c r="V25" s="14" t="str">
        <f aca="false">IF(OR(L25="BREACH",R25="BREACH",T25="BREACH"),"BREACH",IF(OR(L25="N/M",R25="N/M"),"N/M",IF(OR(L25="N/D",R25="N/D"),"N/D","COMPLIANT")))</f>
        <v>COMPLIANT</v>
      </c>
      <c r="W25" s="14" t="str">
        <f aca="false">IF(COUNTIFS('Debt Schedule'!$D$12:$D$47,$C25,'Debt Schedule'!$AD$12:$AD$47,"*shutoff*")&gt;0,"SHUTOFF","AVAILABLE")</f>
        <v>AVAILABLE</v>
      </c>
      <c r="X25" s="14" t="str">
        <f aca="false">IF(OR(I25="N/D",I25="N/M",O25="N/D",O25="N/M"),"INCOMPLETE","COMPLETE")</f>
        <v>COMPLETE</v>
      </c>
      <c r="Y25" s="16" t="n">
        <f aca="false">SUMIFS('Debt Schedule'!$W$12:$W$47,'Debt Schedule'!$D$12:$D$47,$C25)</f>
        <v>46.2187512347115</v>
      </c>
      <c r="Z25" s="16" t="n">
        <f aca="false">Assumptions!$D$24</f>
        <v>25</v>
      </c>
      <c r="AA25" s="16" t="n">
        <f aca="false">SUMIFS('Debt Schedule'!$AC$12:$AC$47,'Debt Schedule'!$D$12:$D$47,$C25)</f>
        <v>0</v>
      </c>
      <c r="AB25" s="16" t="n">
        <f aca="false">IF($C25=Assumptions!$D$35,SUMIFS('Debt Schedule'!$X$12:$X$47,'Debt Schedule'!$D$12:$D$47,$C25),0)</f>
        <v>0</v>
      </c>
      <c r="AC25" s="17" t="n">
        <f aca="false">IF(ISNUMBER(H25),J25-H25,"")</f>
        <v>0.925193782059167</v>
      </c>
      <c r="AD25" s="16" t="n">
        <f aca="false">IF(AND(ISNUMBER(G25),G25&gt;0),G25*J25-F25,"")</f>
        <v>205.628583654042</v>
      </c>
      <c r="AE25" s="16" t="n">
        <f aca="false">IF(J25&lt;=0,"",F25/J25)</f>
        <v>153.71174926627</v>
      </c>
      <c r="AF25" s="16" t="n">
        <f aca="false">IF(OR(M25="",M25&lt;=0),"",G25-M25*P25)</f>
        <v>136.467357248883</v>
      </c>
      <c r="AG25" s="19" t="str">
        <f aca="false">TEXT(C25,"mmm-yy")</f>
        <v>Apr-30</v>
      </c>
    </row>
    <row r="26" customFormat="false" ht="15" hidden="false" customHeight="false" outlineLevel="0" collapsed="false">
      <c r="C26" s="13" t="n">
        <v>47695</v>
      </c>
      <c r="D26" s="3" t="s">
        <v>351</v>
      </c>
      <c r="E26" s="3" t="s">
        <v>271</v>
      </c>
      <c r="F26" s="16" t="n">
        <f aca="false">SUMIFS('Debt Schedule'!$Z$12:$Z$47,'Debt Schedule'!$D$12:$D$47,$C26)</f>
        <v>449.22899779881</v>
      </c>
      <c r="G26" s="16" t="n">
        <f aca="false">SUMIFS(Assumptions!$AT$41:$AT$364,Assumptions!$C$41:$C$364,$D$4,Assumptions!$H$41:$H$364,$C26)*(1+Assumptions!$D$21)</f>
        <v>222.253027493337</v>
      </c>
      <c r="H26" s="17" t="n">
        <f aca="false">IF(G26&lt;=0,"",F26/G26)</f>
        <v>2.02125029685941</v>
      </c>
      <c r="I26" s="17" t="str">
        <f aca="false">IF(G26&lt;=0,"N/M",TEXT(H26,"0.00x"))</f>
        <v>2.02x</v>
      </c>
      <c r="J26" s="17" t="n">
        <f aca="false">IF(C26&lt;=DATE(2027,10,31),Assumptions!$D$27,IF(C26&lt;=DATE(2028,10,31),Assumptions!$D$28,Assumptions!$D$29))</f>
        <v>3</v>
      </c>
      <c r="K26" s="17" t="n">
        <f aca="false">IF(C26&lt;=DATE(2027,10,31),Assumptions!$D$32,IF(C26&lt;=DATE(2028,10,31),3,2.75))</f>
        <v>2.75</v>
      </c>
      <c r="L26" s="14" t="str">
        <f aca="false">IF(G26&lt;=0,"N/M",IF(H26&gt;J26,"BREACH",IF(H26&gt;=K26,"WARNING","COMPLIANT")))</f>
        <v>COMPLIANT</v>
      </c>
      <c r="M26" s="16" t="n">
        <f aca="false">IF(Assumptions!$D$19="","",SUMIFS('Debt Schedule'!$T$12:$T$47,'Debt Schedule'!$D$12:$D$47,"&gt;"&amp;EDATE($C26,-12),'Debt Schedule'!$D$12:$D$47,"&lt;="&amp;$C26))</f>
        <v>27.5195077169244</v>
      </c>
      <c r="N26" s="17" t="n">
        <f aca="false">IF(M26="","",IF(M26&lt;=0,"",G26/M26))</f>
        <v>8.07619924671298</v>
      </c>
      <c r="O26" s="17" t="str">
        <f aca="false">IF(M26="","N/D",IF(M26&lt;=0,"N/M",TEXT(N26,"0.00x")))</f>
        <v>8.08x</v>
      </c>
      <c r="P26" s="17" t="n">
        <f aca="false">Assumptions!$D$30</f>
        <v>3</v>
      </c>
      <c r="Q26" s="17" t="n">
        <f aca="false">Assumptions!$D$33</f>
        <v>3.5</v>
      </c>
      <c r="R26" s="14" t="str">
        <f aca="false">IF(M26="","N/D",IF(M26&lt;=0,"N/M",IF(N26&lt;P26,"BREACH",IF(N26&lt;Q26,"WARNING","COMPLIANT"))))</f>
        <v>COMPLIANT</v>
      </c>
      <c r="S26" s="16" t="n">
        <f aca="false">SUMIFS('Debt Schedule'!$AB$12:$AB$47,'Debt Schedule'!$D$12:$D$47,$C26)</f>
        <v>327.315052517745</v>
      </c>
      <c r="T26" s="16" t="str">
        <f aca="false">IF(S26&lt;Assumptions!$D$31,"BREACH",IF(S26&lt;Assumptions!$D$34,"WARNING","COMPLIANT"))</f>
        <v>COMPLIANT</v>
      </c>
      <c r="U26" s="14" t="str">
        <f aca="false">IF(OR(L26="WARNING",R26="WARNING",T26="WARNING"),"WARNING","NONE")</f>
        <v>NONE</v>
      </c>
      <c r="V26" s="14" t="str">
        <f aca="false">IF(OR(L26="BREACH",R26="BREACH",T26="BREACH"),"BREACH",IF(OR(L26="N/M",R26="N/M"),"N/M",IF(OR(L26="N/D",R26="N/D"),"N/D","COMPLIANT")))</f>
        <v>COMPLIANT</v>
      </c>
      <c r="W26" s="14" t="str">
        <f aca="false">IF(COUNTIFS('Debt Schedule'!$D$12:$D$47,$C26,'Debt Schedule'!$AD$12:$AD$47,"*shutoff*")&gt;0,"SHUTOFF","AVAILABLE")</f>
        <v>AVAILABLE</v>
      </c>
      <c r="X26" s="14" t="str">
        <f aca="false">IF(OR(I26="N/D",I26="N/M",O26="N/D",O26="N/M"),"INCOMPLETE","COMPLETE")</f>
        <v>COMPLETE</v>
      </c>
      <c r="Y26" s="16" t="n">
        <f aca="false">SUMIFS('Debt Schedule'!$W$12:$W$47,'Debt Schedule'!$D$12:$D$47,$C26)</f>
        <v>58.5150525177446</v>
      </c>
      <c r="Z26" s="16" t="n">
        <f aca="false">Assumptions!$D$24</f>
        <v>25</v>
      </c>
      <c r="AA26" s="16" t="n">
        <f aca="false">SUMIFS('Debt Schedule'!$AC$12:$AC$47,'Debt Schedule'!$D$12:$D$47,$C26)</f>
        <v>0</v>
      </c>
      <c r="AB26" s="16" t="n">
        <f aca="false">IF($C26=Assumptions!$D$35,SUMIFS('Debt Schedule'!$X$12:$X$47,'Debt Schedule'!$D$12:$D$47,$C26),0)</f>
        <v>0</v>
      </c>
      <c r="AC26" s="17" t="n">
        <f aca="false">IF(ISNUMBER(H26),J26-H26,"")</f>
        <v>0.978749703140588</v>
      </c>
      <c r="AD26" s="16" t="n">
        <f aca="false">IF(AND(ISNUMBER(G26),G26&gt;0),G26*J26-F26,"")</f>
        <v>217.530084681201</v>
      </c>
      <c r="AE26" s="16" t="n">
        <f aca="false">IF(J26&lt;=0,"",F26/J26)</f>
        <v>149.74299926627</v>
      </c>
      <c r="AF26" s="16" t="n">
        <f aca="false">IF(OR(M26="",M26&lt;=0),"",G26-M26*P26)</f>
        <v>139.694504342564</v>
      </c>
      <c r="AG26" s="19" t="str">
        <f aca="false">TEXT(C26,"mmm-yy")</f>
        <v>Jul-30</v>
      </c>
    </row>
    <row r="27" customFormat="false" ht="15" hidden="false" customHeight="false" outlineLevel="0" collapsed="false">
      <c r="C27" s="13" t="n">
        <v>47787</v>
      </c>
      <c r="D27" s="3" t="s">
        <v>351</v>
      </c>
      <c r="E27" s="3" t="s">
        <v>288</v>
      </c>
      <c r="F27" s="16" t="n">
        <f aca="false">SUMIFS('Debt Schedule'!$Z$12:$Z$47,'Debt Schedule'!$D$12:$D$47,$C27)</f>
        <v>414.108081847767</v>
      </c>
      <c r="G27" s="16" t="n">
        <f aca="false">SUMIFS(Assumptions!$AT$41:$AT$364,Assumptions!$C$41:$C$364,$D$4,Assumptions!$H$41:$H$364,$C27)*(1+Assumptions!$D$21)</f>
        <v>222.251434205996</v>
      </c>
      <c r="H27" s="17" t="n">
        <f aca="false">IF(G27&lt;=0,"",F27/G27)</f>
        <v>1.86324143791102</v>
      </c>
      <c r="I27" s="17" t="str">
        <f aca="false">IF(G27&lt;=0,"N/M",TEXT(H27,"0.00x"))</f>
        <v>1.86x</v>
      </c>
      <c r="J27" s="17" t="n">
        <f aca="false">IF(C27&lt;=DATE(2027,10,31),Assumptions!$D$27,IF(C27&lt;=DATE(2028,10,31),Assumptions!$D$28,Assumptions!$D$29))</f>
        <v>3</v>
      </c>
      <c r="K27" s="17" t="n">
        <f aca="false">IF(C27&lt;=DATE(2027,10,31),Assumptions!$D$32,IF(C27&lt;=DATE(2028,10,31),3,2.75))</f>
        <v>2.75</v>
      </c>
      <c r="L27" s="14" t="str">
        <f aca="false">IF(G27&lt;=0,"N/M",IF(H27&gt;J27,"BREACH",IF(H27&gt;=K27,"WARNING","COMPLIANT")))</f>
        <v>COMPLIANT</v>
      </c>
      <c r="M27" s="16" t="n">
        <f aca="false">IF(Assumptions!$D$19="","",SUMIFS('Debt Schedule'!$T$12:$T$47,'Debt Schedule'!$D$12:$D$47,"&gt;"&amp;EDATE($C27,-12),'Debt Schedule'!$D$12:$D$47,"&lt;="&amp;$C27))</f>
        <v>26.4432643553819</v>
      </c>
      <c r="N27" s="17" t="n">
        <f aca="false">IF(M27="","",IF(M27&lt;=0,"",G27/M27))</f>
        <v>8.40484106723996</v>
      </c>
      <c r="O27" s="17" t="str">
        <f aca="false">IF(M27="","N/D",IF(M27&lt;=0,"N/M",TEXT(N27,"0.00x")))</f>
        <v>8.40x</v>
      </c>
      <c r="P27" s="17" t="n">
        <f aca="false">Assumptions!$D$30</f>
        <v>3</v>
      </c>
      <c r="Q27" s="17" t="n">
        <f aca="false">Assumptions!$D$33</f>
        <v>3.5</v>
      </c>
      <c r="R27" s="14" t="str">
        <f aca="false">IF(M27="","N/D",IF(M27&lt;=0,"N/M",IF(N27&lt;P27,"BREACH",IF(N27&lt;Q27,"WARNING","COMPLIANT"))))</f>
        <v>COMPLIANT</v>
      </c>
      <c r="S27" s="16" t="n">
        <f aca="false">SUMIFS('Debt Schedule'!$AB$12:$AB$47,'Debt Schedule'!$D$12:$D$47,$C27)</f>
        <v>317.014665951044</v>
      </c>
      <c r="T27" s="16" t="str">
        <f aca="false">IF(S27&lt;Assumptions!$D$31,"BREACH",IF(S27&lt;Assumptions!$D$34,"WARNING","COMPLIANT"))</f>
        <v>COMPLIANT</v>
      </c>
      <c r="U27" s="14" t="str">
        <f aca="false">IF(OR(L27="WARNING",R27="WARNING",T27="WARNING"),"WARNING","NONE")</f>
        <v>NONE</v>
      </c>
      <c r="V27" s="14" t="str">
        <f aca="false">IF(OR(L27="BREACH",R27="BREACH",T27="BREACH"),"BREACH",IF(OR(L27="N/M",R27="N/M"),"N/M",IF(OR(L27="N/D",R27="N/D"),"N/D","COMPLIANT")))</f>
        <v>COMPLIANT</v>
      </c>
      <c r="W27" s="14" t="str">
        <f aca="false">IF(COUNTIFS('Debt Schedule'!$D$12:$D$47,$C27,'Debt Schedule'!$AD$12:$AD$47,"*shutoff*")&gt;0,"SHUTOFF","AVAILABLE")</f>
        <v>AVAILABLE</v>
      </c>
      <c r="X27" s="14" t="str">
        <f aca="false">IF(OR(I27="N/D",I27="N/M",O27="N/D",O27="N/M"),"INCOMPLETE","COMPLETE")</f>
        <v>COMPLETE</v>
      </c>
      <c r="Y27" s="16" t="n">
        <f aca="false">SUMIFS('Debt Schedule'!$W$12:$W$47,'Debt Schedule'!$D$12:$D$47,$C27)</f>
        <v>48.2146659510436</v>
      </c>
      <c r="Z27" s="16" t="n">
        <f aca="false">Assumptions!$D$24</f>
        <v>25</v>
      </c>
      <c r="AA27" s="16" t="n">
        <f aca="false">SUMIFS('Debt Schedule'!$AC$12:$AC$47,'Debt Schedule'!$D$12:$D$47,$C27)</f>
        <v>0</v>
      </c>
      <c r="AB27" s="16" t="n">
        <f aca="false">IF($C27=Assumptions!$D$35,SUMIFS('Debt Schedule'!$X$12:$X$47,'Debt Schedule'!$D$12:$D$47,$C27),0)</f>
        <v>0</v>
      </c>
      <c r="AC27" s="17" t="n">
        <f aca="false">IF(ISNUMBER(H27),J27-H27,"")</f>
        <v>1.13675856208898</v>
      </c>
      <c r="AD27" s="16" t="n">
        <f aca="false">IF(AND(ISNUMBER(G27),G27&gt;0),G27*J27-F27,"")</f>
        <v>252.646220770221</v>
      </c>
      <c r="AE27" s="16" t="n">
        <f aca="false">IF(J27&lt;=0,"",F27/J27)</f>
        <v>138.036027282589</v>
      </c>
      <c r="AF27" s="16" t="n">
        <f aca="false">IF(OR(M27="",M27&lt;=0),"",G27-M27*P27)</f>
        <v>142.92164113985</v>
      </c>
      <c r="AG27" s="19" t="str">
        <f aca="false">TEXT(C27,"mmm-yy")</f>
        <v>Oct-30</v>
      </c>
    </row>
  </sheetData>
  <conditionalFormatting sqref="I8:W27">
    <cfRule type="containsText" priority="2" operator="containsText" aboveAverage="0" equalAverage="0" bottom="0" percent="0" rank="0" text="BREACH" dxfId="50">
      <formula>NOT(ISERROR(SEARCH("BREACH",I8)))</formula>
    </cfRule>
    <cfRule type="containsText" priority="3" operator="containsText" aboveAverage="0" equalAverage="0" bottom="0" percent="0" rank="0" text="FAIL" dxfId="51">
      <formula>NOT(ISERROR(SEARCH("FAIL",I8)))</formula>
    </cfRule>
    <cfRule type="containsText" priority="4" operator="containsText" aboveAverage="0" equalAverage="0" bottom="0" percent="0" rank="0" text="WARNING" dxfId="52">
      <formula>NOT(ISERROR(SEARCH("WARNING",I8)))</formula>
    </cfRule>
    <cfRule type="containsText" priority="5" operator="containsText" aboveAverage="0" equalAverage="0" bottom="0" percent="0" rank="0" text="STALE" dxfId="53">
      <formula>NOT(ISERROR(SEARCH("STALE",I8)))</formula>
    </cfRule>
    <cfRule type="containsText" priority="6" operator="containsText" aboveAverage="0" equalAverage="0" bottom="0" percent="0" rank="0" text="N/D" dxfId="54">
      <formula>NOT(ISERROR(SEARCH("N/D",I8)))</formula>
    </cfRule>
  </conditionalFormatting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7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28"/>
    <col collapsed="false" customWidth="true" hidden="false" outlineLevel="0" max="4" min="4" style="1" width="20"/>
    <col collapsed="false" customWidth="true" hidden="false" outlineLevel="0" max="5" min="5" style="1" width="44"/>
    <col collapsed="false" customWidth="true" hidden="false" outlineLevel="0" max="6" min="6" style="1" width="42"/>
  </cols>
  <sheetData>
    <row r="2" customFormat="false" ht="18.55" hidden="false" customHeight="false" outlineLevel="0" collapsed="false">
      <c r="C2" s="2" t="s">
        <v>982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C5" s="50" t="s">
        <v>7</v>
      </c>
      <c r="D5" s="51" t="s">
        <v>983</v>
      </c>
      <c r="E5" s="51" t="s">
        <v>984</v>
      </c>
      <c r="F5" s="52" t="s">
        <v>985</v>
      </c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C8" s="10" t="s">
        <v>76</v>
      </c>
      <c r="D8" s="11" t="s">
        <v>986</v>
      </c>
      <c r="E8" s="11" t="s">
        <v>987</v>
      </c>
      <c r="F8" s="12" t="s">
        <v>988</v>
      </c>
      <c r="G8" s="3"/>
      <c r="H8" s="3"/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C9" s="3" t="s">
        <v>989</v>
      </c>
      <c r="D9" s="3" t="s">
        <v>990</v>
      </c>
      <c r="E9" s="3" t="s">
        <v>991</v>
      </c>
      <c r="F9" s="3" t="s">
        <v>992</v>
      </c>
      <c r="G9" s="3"/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C10" s="3" t="s">
        <v>993</v>
      </c>
      <c r="D10" s="3" t="s">
        <v>990</v>
      </c>
      <c r="E10" s="3" t="s">
        <v>994</v>
      </c>
      <c r="F10" s="3" t="s">
        <v>995</v>
      </c>
      <c r="G10" s="3"/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C11" s="3" t="s">
        <v>996</v>
      </c>
      <c r="D11" s="3" t="s">
        <v>997</v>
      </c>
      <c r="E11" s="3" t="s">
        <v>998</v>
      </c>
      <c r="F11" s="3" t="s">
        <v>999</v>
      </c>
      <c r="G11" s="3"/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C12" s="3" t="s">
        <v>1000</v>
      </c>
      <c r="D12" s="3" t="s">
        <v>997</v>
      </c>
      <c r="E12" s="3" t="s">
        <v>1001</v>
      </c>
      <c r="F12" s="3" t="s">
        <v>1002</v>
      </c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C13" s="3" t="s">
        <v>1003</v>
      </c>
      <c r="D13" s="3" t="s">
        <v>1004</v>
      </c>
      <c r="E13" s="3" t="s">
        <v>1005</v>
      </c>
      <c r="F13" s="3" t="s">
        <v>1006</v>
      </c>
      <c r="G13" s="3"/>
      <c r="H13" s="3"/>
      <c r="I13" s="3"/>
      <c r="J13" s="3"/>
      <c r="K13" s="3"/>
      <c r="L13" s="3"/>
      <c r="M13" s="3"/>
      <c r="N13" s="3"/>
    </row>
  </sheetData>
  <conditionalFormatting sqref="D9:D13">
    <cfRule type="containsText" priority="2" operator="containsText" aboveAverage="0" equalAverage="0" bottom="0" percent="0" rank="0" text="BREACH" dxfId="55">
      <formula>NOT(ISERROR(SEARCH("BREACH",D9)))</formula>
    </cfRule>
    <cfRule type="containsText" priority="3" operator="containsText" aboveAverage="0" equalAverage="0" bottom="0" percent="0" rank="0" text="FAIL" dxfId="56">
      <formula>NOT(ISERROR(SEARCH("FAIL",D9)))</formula>
    </cfRule>
    <cfRule type="containsText" priority="4" operator="containsText" aboveAverage="0" equalAverage="0" bottom="0" percent="0" rank="0" text="WARNING" dxfId="57">
      <formula>NOT(ISERROR(SEARCH("WARNING",D9)))</formula>
    </cfRule>
    <cfRule type="containsText" priority="5" operator="containsText" aboveAverage="0" equalAverage="0" bottom="0" percent="0" rank="0" text="STALE" dxfId="58">
      <formula>NOT(ISERROR(SEARCH("STALE",D9)))</formula>
    </cfRule>
    <cfRule type="containsText" priority="6" operator="containsText" aboveAverage="0" equalAverage="0" bottom="0" percent="0" rank="0" text="N/D" dxfId="59">
      <formula>NOT(ISERROR(SEARCH("N/D",D9)))</formula>
    </cfRule>
  </conditionalFormatting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7" min="3" style="1" width="18"/>
    <col collapsed="false" customWidth="true" hidden="false" outlineLevel="0" max="8" min="8" style="1" width="20"/>
    <col collapsed="false" customWidth="true" hidden="false" outlineLevel="0" max="9" min="9" style="1" width="3"/>
    <col collapsed="false" customWidth="true" hidden="false" outlineLevel="0" max="11" min="10" style="1" width="20"/>
    <col collapsed="false" customWidth="true" hidden="false" outlineLevel="0" max="12" min="12" style="1" width="17"/>
    <col collapsed="false" customWidth="true" hidden="false" outlineLevel="0" max="14" min="13" style="1" width="18"/>
  </cols>
  <sheetData>
    <row r="2" customFormat="false" ht="18.55" hidden="false" customHeight="false" outlineLevel="0" collapsed="false">
      <c r="C2" s="2" t="s">
        <v>1007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false" outlineLevel="0" collapsed="false">
      <c r="C4" s="3" t="s">
        <v>1</v>
      </c>
      <c r="D4" s="5" t="str">
        <f aca="false">Assumptions!$D$4</f>
        <v>Base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C6" s="7" t="s">
        <v>1008</v>
      </c>
      <c r="D6" s="8"/>
      <c r="E6" s="8"/>
      <c r="F6" s="9"/>
      <c r="G6" s="3"/>
      <c r="H6" s="3"/>
      <c r="I6" s="3"/>
      <c r="J6" s="7" t="s">
        <v>1009</v>
      </c>
      <c r="K6" s="8"/>
      <c r="L6" s="8"/>
      <c r="M6" s="8"/>
      <c r="N6" s="9"/>
    </row>
    <row r="7" customFormat="false" ht="26.85" hidden="false" customHeight="false" outlineLevel="0" collapsed="false">
      <c r="C7" s="10" t="s">
        <v>1010</v>
      </c>
      <c r="D7" s="11" t="s">
        <v>101</v>
      </c>
      <c r="E7" s="11" t="s">
        <v>1011</v>
      </c>
      <c r="F7" s="12" t="s">
        <v>1012</v>
      </c>
      <c r="G7" s="3"/>
      <c r="H7" s="3"/>
      <c r="I7" s="3"/>
      <c r="J7" s="10" t="s">
        <v>1013</v>
      </c>
      <c r="K7" s="11" t="s">
        <v>1014</v>
      </c>
      <c r="L7" s="11" t="s">
        <v>153</v>
      </c>
      <c r="M7" s="11" t="s">
        <v>1015</v>
      </c>
      <c r="N7" s="12" t="s">
        <v>1016</v>
      </c>
    </row>
    <row r="8" customFormat="false" ht="15" hidden="false" customHeight="false" outlineLevel="0" collapsed="false">
      <c r="C8" s="16" t="n">
        <v>625</v>
      </c>
      <c r="D8" s="16" t="n">
        <f aca="false">Assumptions!$D$15</f>
        <v>29.89771875</v>
      </c>
      <c r="E8" s="16" t="n">
        <f aca="false">Assumptions!$D$13</f>
        <v>15</v>
      </c>
      <c r="F8" s="17" t="n">
        <f aca="false">(C8+D8+Assumptions!$D$17)/('Credit Adjustments'!$E$14*(1+Assumptions!$D$21))</f>
        <v>3.18409506687553</v>
      </c>
      <c r="G8" s="3"/>
      <c r="H8" s="3"/>
      <c r="I8" s="3"/>
      <c r="J8" s="30" t="n">
        <v>-0.01</v>
      </c>
      <c r="K8" s="16" t="n">
        <f aca="false">'Scenario Comparison'!$J$5+J8*AVERAGE('Debt Schedule'!S12:S47)*5</f>
        <v>140.029640115991</v>
      </c>
      <c r="L8" s="14" t="n">
        <v>-5</v>
      </c>
      <c r="M8" s="16" t="n">
        <f aca="false">-L8*SUM(Forecast!D10:W10)/365</f>
        <v>125.855697340348</v>
      </c>
      <c r="N8" s="16" t="n">
        <f aca="false">MAX(0,'Scenario Comparison'!$X$5-M8)</f>
        <v>198.9240077798</v>
      </c>
    </row>
    <row r="9" customFormat="false" ht="15" hidden="false" customHeight="false" outlineLevel="0" collapsed="false">
      <c r="C9" s="16" t="n">
        <v>635</v>
      </c>
      <c r="D9" s="16" t="n">
        <f aca="false">Assumptions!$D$15</f>
        <v>29.89771875</v>
      </c>
      <c r="E9" s="16" t="n">
        <f aca="false">Assumptions!$D$13</f>
        <v>15</v>
      </c>
      <c r="F9" s="17" t="n">
        <f aca="false">(C9+D9+Assumptions!$D$17)/('Credit Adjustments'!$E$14*(1+Assumptions!$D$21))</f>
        <v>3.22847166443304</v>
      </c>
      <c r="G9" s="3"/>
      <c r="H9" s="3"/>
      <c r="I9" s="3"/>
      <c r="J9" s="30" t="n">
        <v>0</v>
      </c>
      <c r="K9" s="16" t="n">
        <f aca="false">'Scenario Comparison'!$J$5+J9*AVERAGE('Debt Schedule'!S12:S47)*5</f>
        <v>167.38574634971</v>
      </c>
      <c r="L9" s="14" t="n">
        <v>0</v>
      </c>
      <c r="M9" s="16" t="n">
        <f aca="false">-L9*SUM(Forecast!D10:W10)/365</f>
        <v>-0</v>
      </c>
      <c r="N9" s="16" t="n">
        <f aca="false">MAX(0,'Scenario Comparison'!$X$5-M9)</f>
        <v>324.779705120148</v>
      </c>
    </row>
    <row r="10" customFormat="false" ht="15" hidden="false" customHeight="false" outlineLevel="0" collapsed="false">
      <c r="C10" s="16" t="n">
        <v>640</v>
      </c>
      <c r="D10" s="16" t="n">
        <f aca="false">Assumptions!$D$15</f>
        <v>29.89771875</v>
      </c>
      <c r="E10" s="16" t="n">
        <f aca="false">Assumptions!$D$13</f>
        <v>15</v>
      </c>
      <c r="F10" s="17" t="n">
        <f aca="false">(C10+D10+Assumptions!$D$17)/('Credit Adjustments'!$E$14*(1+Assumptions!$D$21))</f>
        <v>3.2506599632118</v>
      </c>
      <c r="G10" s="3"/>
      <c r="H10" s="3"/>
      <c r="I10" s="3"/>
      <c r="J10" s="30" t="n">
        <v>0.01</v>
      </c>
      <c r="K10" s="16" t="n">
        <f aca="false">'Scenario Comparison'!$J$5+J10*AVERAGE('Debt Schedule'!S12:S47)*5</f>
        <v>194.741852583429</v>
      </c>
      <c r="L10" s="14" t="n">
        <v>5</v>
      </c>
      <c r="M10" s="16" t="n">
        <f aca="false">-L10*SUM(Forecast!D10:W10)/365</f>
        <v>-125.855697340348</v>
      </c>
      <c r="N10" s="16" t="n">
        <f aca="false">MAX(0,'Scenario Comparison'!$X$5-M10)</f>
        <v>450.635402460495</v>
      </c>
    </row>
    <row r="11" customFormat="false" ht="15" hidden="false" customHeight="false" outlineLevel="0" collapsed="false">
      <c r="C11" s="16" t="n">
        <v>650</v>
      </c>
      <c r="D11" s="16" t="n">
        <f aca="false">Assumptions!$D$15</f>
        <v>29.89771875</v>
      </c>
      <c r="E11" s="16" t="n">
        <f aca="false">Assumptions!$D$13</f>
        <v>15</v>
      </c>
      <c r="F11" s="17" t="n">
        <f aca="false">(C11+D11+Assumptions!$D$17)/('Credit Adjustments'!$E$14*(1+Assumptions!$D$21))</f>
        <v>3.29503656076931</v>
      </c>
      <c r="G11" s="3"/>
      <c r="H11" s="3"/>
      <c r="I11" s="3"/>
      <c r="J11" s="30" t="n">
        <v>0.02</v>
      </c>
      <c r="K11" s="16" t="n">
        <f aca="false">'Scenario Comparison'!$J$5+J11*AVERAGE('Debt Schedule'!S12:S47)*5</f>
        <v>222.097958817148</v>
      </c>
      <c r="L11" s="14" t="n">
        <v>10</v>
      </c>
      <c r="M11" s="16" t="n">
        <f aca="false">-L11*SUM(Forecast!D10:W10)/365</f>
        <v>-251.711394680695</v>
      </c>
      <c r="N11" s="16" t="n">
        <f aca="false">MAX(0,'Scenario Comparison'!$X$5-M11)</f>
        <v>576.491099800843</v>
      </c>
    </row>
    <row r="12" customFormat="false" ht="15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C14" s="7" t="s">
        <v>1017</v>
      </c>
      <c r="D14" s="8"/>
      <c r="E14" s="8"/>
      <c r="F14" s="8"/>
      <c r="G14" s="8"/>
      <c r="H14" s="9"/>
      <c r="I14" s="3"/>
      <c r="J14" s="7" t="s">
        <v>1018</v>
      </c>
      <c r="K14" s="8"/>
      <c r="L14" s="8"/>
      <c r="M14" s="8"/>
      <c r="N14" s="9"/>
    </row>
    <row r="15" customFormat="false" ht="26.85" hidden="false" customHeight="false" outlineLevel="0" collapsed="false">
      <c r="C15" s="10" t="s">
        <v>1019</v>
      </c>
      <c r="D15" s="11" t="s">
        <v>1020</v>
      </c>
      <c r="E15" s="11" t="s">
        <v>1012</v>
      </c>
      <c r="F15" s="11" t="s">
        <v>1021</v>
      </c>
      <c r="G15" s="11" t="s">
        <v>1022</v>
      </c>
      <c r="H15" s="12" t="s">
        <v>1023</v>
      </c>
      <c r="I15" s="3"/>
      <c r="J15" s="10" t="s">
        <v>1024</v>
      </c>
      <c r="K15" s="11" t="s">
        <v>663</v>
      </c>
      <c r="L15" s="11" t="s">
        <v>158</v>
      </c>
      <c r="M15" s="11" t="s">
        <v>1025</v>
      </c>
      <c r="N15" s="12" t="s">
        <v>24</v>
      </c>
    </row>
    <row r="16" customFormat="false" ht="15" hidden="false" customHeight="false" outlineLevel="0" collapsed="false">
      <c r="C16" s="30" t="n">
        <v>-0.2</v>
      </c>
      <c r="D16" s="16" t="n">
        <f aca="false">'Credit Adjustments'!$E$14*(1+C16)</f>
        <v>180.2752</v>
      </c>
      <c r="E16" s="17" t="n">
        <f aca="false">Transaction!$D$17/D16</f>
        <v>4.03558958054131</v>
      </c>
      <c r="F16" s="16" t="n">
        <f aca="false">D16*3.5-Transaction!$D$17</f>
        <v>-96.55351875</v>
      </c>
      <c r="G16" s="16" t="n">
        <f aca="false">D16*3.25-Transaction!$D$17</f>
        <v>-141.62231875</v>
      </c>
      <c r="H16" s="16" t="n">
        <f aca="false">'Scenario Comparison'!$X$5-('Credit Adjustments'!$E$14-D16)*0.5</f>
        <v>302.245305120148</v>
      </c>
      <c r="I16" s="3"/>
      <c r="J16" s="30" t="n">
        <v>0.05</v>
      </c>
      <c r="K16" s="16" t="n">
        <f aca="false">Assumptions!$D$12*J16*5</f>
        <v>158.75</v>
      </c>
      <c r="L16" s="16" t="n">
        <f aca="false">'Scenario Comparison'!$L$5</f>
        <v>57.2921681522332</v>
      </c>
      <c r="M16" s="16" t="n">
        <f aca="false">'Scenario Comparison'!$P$5</f>
        <v>263.90228125</v>
      </c>
      <c r="N16" s="16" t="n">
        <f aca="false">MAX(0,'Scenario Comparison'!$X$5-(Assumptions!$D$12*J16*5-Assumptions!$D$12*Assumptions!$D$18*5))</f>
        <v>404.154705120148</v>
      </c>
    </row>
    <row r="17" customFormat="false" ht="15" hidden="false" customHeight="false" outlineLevel="0" collapsed="false">
      <c r="C17" s="30" t="n">
        <v>-0.1</v>
      </c>
      <c r="D17" s="16" t="n">
        <f aca="false">'Credit Adjustments'!$E$14*(1+C17)</f>
        <v>202.8096</v>
      </c>
      <c r="E17" s="17" t="n">
        <f aca="false">Transaction!$D$17/D17</f>
        <v>3.58719073825894</v>
      </c>
      <c r="F17" s="16" t="n">
        <f aca="false">D17*3.5-Transaction!$D$17</f>
        <v>-17.6831187500001</v>
      </c>
      <c r="G17" s="16" t="n">
        <f aca="false">D17*3.25-Transaction!$D$17</f>
        <v>-68.3855187500001</v>
      </c>
      <c r="H17" s="16" t="n">
        <f aca="false">'Scenario Comparison'!$X$5-('Credit Adjustments'!$E$14-D17)*0.5</f>
        <v>313.512505120148</v>
      </c>
      <c r="I17" s="3"/>
      <c r="J17" s="30" t="n">
        <v>0.075</v>
      </c>
      <c r="K17" s="16" t="n">
        <f aca="false">Assumptions!$D$12*J17*5</f>
        <v>238.125</v>
      </c>
      <c r="L17" s="16" t="n">
        <f aca="false">'Scenario Comparison'!$L$5</f>
        <v>57.2921681522332</v>
      </c>
      <c r="M17" s="16" t="n">
        <f aca="false">'Scenario Comparison'!$P$5</f>
        <v>263.90228125</v>
      </c>
      <c r="N17" s="16" t="n">
        <f aca="false">MAX(0,'Scenario Comparison'!$X$5-(Assumptions!$D$12*J17*5-Assumptions!$D$12*Assumptions!$D$18*5))</f>
        <v>324.779705120148</v>
      </c>
    </row>
    <row r="18" customFormat="false" ht="15" hidden="false" customHeight="false" outlineLevel="0" collapsed="false">
      <c r="C18" s="30" t="n">
        <v>0</v>
      </c>
      <c r="D18" s="16" t="n">
        <f aca="false">'Credit Adjustments'!$E$14*(1+C18)</f>
        <v>225.344</v>
      </c>
      <c r="E18" s="17" t="n">
        <f aca="false">Transaction!$D$17/D18</f>
        <v>3.22847166443304</v>
      </c>
      <c r="F18" s="16" t="n">
        <f aca="false">D18*3.5-Transaction!$D$17</f>
        <v>61.18728125</v>
      </c>
      <c r="G18" s="16" t="n">
        <f aca="false">D18*3.25-Transaction!$D$17</f>
        <v>4.85128124999994</v>
      </c>
      <c r="H18" s="16" t="n">
        <f aca="false">'Scenario Comparison'!$X$5-('Credit Adjustments'!$E$14-D18)*0.5</f>
        <v>324.779705120148</v>
      </c>
      <c r="I18" s="3"/>
      <c r="J18" s="30" t="n">
        <v>0.1</v>
      </c>
      <c r="K18" s="16" t="n">
        <f aca="false">Assumptions!$D$12*J18*5</f>
        <v>317.5</v>
      </c>
      <c r="L18" s="16" t="n">
        <f aca="false">'Scenario Comparison'!$L$5</f>
        <v>57.2921681522332</v>
      </c>
      <c r="M18" s="16" t="n">
        <f aca="false">'Scenario Comparison'!$P$5</f>
        <v>263.90228125</v>
      </c>
      <c r="N18" s="16" t="n">
        <f aca="false">MAX(0,'Scenario Comparison'!$X$5-(Assumptions!$D$12*J18*5-Assumptions!$D$12*Assumptions!$D$18*5))</f>
        <v>245.404705120148</v>
      </c>
    </row>
    <row r="19" customFormat="false" ht="15" hidden="false" customHeight="false" outlineLevel="0" collapsed="false">
      <c r="C19" s="30" t="n">
        <v>0.1</v>
      </c>
      <c r="D19" s="16" t="n">
        <f aca="false">'Credit Adjustments'!$E$14*(1+C19)</f>
        <v>247.8784</v>
      </c>
      <c r="E19" s="17" t="n">
        <f aca="false">Transaction!$D$17/D19</f>
        <v>2.93497424039368</v>
      </c>
      <c r="F19" s="16" t="n">
        <f aca="false">D19*3.5-Transaction!$D$17</f>
        <v>140.05768125</v>
      </c>
      <c r="G19" s="16" t="n">
        <f aca="false">D19*3.25-Transaction!$D$17</f>
        <v>78.0880812500001</v>
      </c>
      <c r="H19" s="16" t="n">
        <f aca="false">'Scenario Comparison'!$X$5-('Credit Adjustments'!$E$14-D19)*0.5</f>
        <v>336.046905120148</v>
      </c>
      <c r="I19" s="3"/>
      <c r="J19" s="30" t="n">
        <v>0.15</v>
      </c>
      <c r="K19" s="16" t="n">
        <f aca="false">Assumptions!$D$12*J19*5</f>
        <v>476.25</v>
      </c>
      <c r="L19" s="16" t="n">
        <f aca="false">'Scenario Comparison'!$L$5</f>
        <v>57.2921681522332</v>
      </c>
      <c r="M19" s="16" t="n">
        <f aca="false">'Scenario Comparison'!$P$5</f>
        <v>263.90228125</v>
      </c>
      <c r="N19" s="16" t="n">
        <f aca="false">MAX(0,'Scenario Comparison'!$X$5-(Assumptions!$D$12*J19*5-Assumptions!$D$12*Assumptions!$D$18*5))</f>
        <v>86.6547051201479</v>
      </c>
    </row>
    <row r="20" customFormat="false" ht="15" hidden="false" customHeight="false" outlineLevel="0" collapsed="false">
      <c r="C20" s="30" t="n">
        <v>0.2</v>
      </c>
      <c r="D20" s="16" t="n">
        <f aca="false">'Credit Adjustments'!$E$14*(1+C20)</f>
        <v>270.4128</v>
      </c>
      <c r="E20" s="17" t="n">
        <f aca="false">Transaction!$D$17/D20</f>
        <v>2.6903930536942</v>
      </c>
      <c r="F20" s="16" t="n">
        <f aca="false">D20*3.5-Transaction!$D$17</f>
        <v>218.92808125</v>
      </c>
      <c r="G20" s="16" t="n">
        <f aca="false">D20*3.25-Transaction!$D$17</f>
        <v>151.32488125</v>
      </c>
      <c r="H20" s="16" t="n">
        <f aca="false">'Scenario Comparison'!$X$5-('Credit Adjustments'!$E$14-D20)*0.5</f>
        <v>347.314105120148</v>
      </c>
      <c r="I20" s="3"/>
      <c r="J20" s="3"/>
      <c r="K20" s="3"/>
      <c r="L20" s="3"/>
      <c r="M20" s="3"/>
      <c r="N20" s="3"/>
    </row>
  </sheetData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4"/>
    <col collapsed="false" customWidth="true" hidden="false" outlineLevel="0" max="3" min="3" style="1" width="38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45"/>
    <col collapsed="false" customWidth="true" hidden="false" outlineLevel="0" max="9" min="8" style="1" width="18"/>
    <col collapsed="false" customWidth="true" hidden="false" outlineLevel="0" max="10" min="10" style="1" width="22"/>
    <col collapsed="false" customWidth="true" hidden="false" outlineLevel="0" max="11" min="11" style="1" width="20"/>
    <col collapsed="false" customWidth="true" hidden="false" outlineLevel="0" max="12" min="12" style="1" width="34"/>
    <col collapsed="false" customWidth="true" hidden="false" outlineLevel="0" max="13" min="13" style="1" width="48"/>
  </cols>
  <sheetData>
    <row r="1" customFormat="false" ht="26.85" hidden="false" customHeight="false" outlineLevel="0" collapsed="false">
      <c r="A1" s="10" t="s">
        <v>778</v>
      </c>
      <c r="B1" s="11" t="s">
        <v>1026</v>
      </c>
      <c r="C1" s="11" t="s">
        <v>1027</v>
      </c>
      <c r="D1" s="11" t="s">
        <v>1028</v>
      </c>
      <c r="E1" s="11" t="s">
        <v>768</v>
      </c>
      <c r="F1" s="11" t="s">
        <v>1029</v>
      </c>
      <c r="G1" s="11" t="s">
        <v>1030</v>
      </c>
      <c r="H1" s="11" t="s">
        <v>1031</v>
      </c>
      <c r="I1" s="11" t="s">
        <v>1032</v>
      </c>
      <c r="J1" s="11" t="s">
        <v>1033</v>
      </c>
      <c r="K1" s="11" t="s">
        <v>776</v>
      </c>
      <c r="L1" s="11" t="s">
        <v>1034</v>
      </c>
      <c r="M1" s="12" t="s">
        <v>737</v>
      </c>
    </row>
    <row r="2" customFormat="false" ht="15" hidden="false" customHeight="false" outlineLevel="0" collapsed="false">
      <c r="A2" s="14" t="s">
        <v>703</v>
      </c>
      <c r="B2" s="14" t="s">
        <v>1035</v>
      </c>
      <c r="C2" s="14" t="s">
        <v>1036</v>
      </c>
      <c r="D2" s="29" t="n">
        <v>46003</v>
      </c>
      <c r="E2" s="14" t="s">
        <v>1037</v>
      </c>
      <c r="F2" s="14" t="s">
        <v>1038</v>
      </c>
      <c r="G2" s="14" t="s">
        <v>1039</v>
      </c>
      <c r="H2" s="14" t="s">
        <v>1040</v>
      </c>
      <c r="I2" s="14" t="s">
        <v>1041</v>
      </c>
      <c r="J2" s="14" t="s">
        <v>1042</v>
      </c>
      <c r="K2" s="14" t="s">
        <v>1043</v>
      </c>
      <c r="L2" s="14" t="s">
        <v>1044</v>
      </c>
      <c r="M2" s="14" t="s">
        <v>1045</v>
      </c>
    </row>
    <row r="3" customFormat="false" ht="15" hidden="false" customHeight="false" outlineLevel="0" collapsed="false">
      <c r="A3" s="14" t="s">
        <v>786</v>
      </c>
      <c r="B3" s="14" t="s">
        <v>1046</v>
      </c>
      <c r="C3" s="14" t="s">
        <v>1047</v>
      </c>
      <c r="D3" s="29" t="n">
        <v>46002</v>
      </c>
      <c r="E3" s="14" t="s">
        <v>1037</v>
      </c>
      <c r="F3" s="14" t="s">
        <v>1038</v>
      </c>
      <c r="G3" s="14" t="s">
        <v>1048</v>
      </c>
      <c r="H3" s="14" t="s">
        <v>1040</v>
      </c>
      <c r="I3" s="14" t="s">
        <v>1041</v>
      </c>
      <c r="J3" s="14" t="s">
        <v>1042</v>
      </c>
      <c r="K3" s="14" t="s">
        <v>1043</v>
      </c>
      <c r="L3" s="14" t="s">
        <v>1044</v>
      </c>
      <c r="M3" s="14" t="s">
        <v>1049</v>
      </c>
    </row>
    <row r="4" customFormat="false" ht="15" hidden="false" customHeight="false" outlineLevel="0" collapsed="false">
      <c r="A4" s="14" t="s">
        <v>1050</v>
      </c>
      <c r="B4" s="14" t="s">
        <v>1046</v>
      </c>
      <c r="C4" s="14" t="s">
        <v>1051</v>
      </c>
      <c r="D4" s="29" t="n">
        <v>45456</v>
      </c>
      <c r="E4" s="14" t="s">
        <v>1052</v>
      </c>
      <c r="F4" s="14" t="s">
        <v>1038</v>
      </c>
      <c r="G4" s="14" t="s">
        <v>1053</v>
      </c>
      <c r="H4" s="14" t="s">
        <v>1040</v>
      </c>
      <c r="I4" s="14" t="s">
        <v>1041</v>
      </c>
      <c r="J4" s="14" t="s">
        <v>1042</v>
      </c>
      <c r="K4" s="14" t="s">
        <v>1043</v>
      </c>
      <c r="L4" s="14" t="s">
        <v>1044</v>
      </c>
      <c r="M4" s="14" t="s">
        <v>1054</v>
      </c>
    </row>
    <row r="5" customFormat="false" ht="15" hidden="false" customHeight="false" outlineLevel="0" collapsed="false">
      <c r="A5" s="14" t="s">
        <v>1055</v>
      </c>
      <c r="B5" s="14" t="s">
        <v>1046</v>
      </c>
      <c r="C5" s="14" t="s">
        <v>1056</v>
      </c>
      <c r="D5" s="29" t="n">
        <v>44748</v>
      </c>
      <c r="E5" s="14" t="s">
        <v>1057</v>
      </c>
      <c r="F5" s="14" t="s">
        <v>1038</v>
      </c>
      <c r="G5" s="14" t="s">
        <v>1058</v>
      </c>
      <c r="H5" s="14" t="s">
        <v>1040</v>
      </c>
      <c r="I5" s="14" t="s">
        <v>1041</v>
      </c>
      <c r="J5" s="14" t="s">
        <v>1042</v>
      </c>
      <c r="K5" s="14" t="s">
        <v>1043</v>
      </c>
      <c r="L5" s="14" t="s">
        <v>1044</v>
      </c>
      <c r="M5" s="14" t="s">
        <v>1059</v>
      </c>
    </row>
    <row r="6" customFormat="false" ht="15" hidden="false" customHeight="false" outlineLevel="0" collapsed="false">
      <c r="A6" s="14" t="s">
        <v>1060</v>
      </c>
      <c r="B6" s="14" t="s">
        <v>1061</v>
      </c>
      <c r="C6" s="14" t="s">
        <v>1062</v>
      </c>
      <c r="D6" s="29" t="n">
        <v>45404</v>
      </c>
      <c r="E6" s="14" t="s">
        <v>1063</v>
      </c>
      <c r="F6" s="14" t="s">
        <v>1038</v>
      </c>
      <c r="G6" s="14" t="s">
        <v>1064</v>
      </c>
      <c r="H6" s="14" t="s">
        <v>1040</v>
      </c>
      <c r="I6" s="14" t="s">
        <v>1041</v>
      </c>
      <c r="J6" s="14" t="s">
        <v>1042</v>
      </c>
      <c r="K6" s="14" t="s">
        <v>1043</v>
      </c>
      <c r="L6" s="14" t="s">
        <v>1044</v>
      </c>
      <c r="M6" s="14" t="s">
        <v>1065</v>
      </c>
    </row>
    <row r="7" customFormat="false" ht="15" hidden="false" customHeight="false" outlineLevel="0" collapsed="false">
      <c r="A7" s="14" t="s">
        <v>1066</v>
      </c>
      <c r="B7" s="14" t="s">
        <v>1067</v>
      </c>
      <c r="C7" s="14" t="s">
        <v>1068</v>
      </c>
      <c r="D7" s="29" t="n">
        <v>45449</v>
      </c>
      <c r="E7" s="14" t="s">
        <v>1069</v>
      </c>
      <c r="F7" s="14" t="s">
        <v>1038</v>
      </c>
      <c r="G7" s="14" t="s">
        <v>1070</v>
      </c>
      <c r="H7" s="14" t="s">
        <v>1040</v>
      </c>
      <c r="I7" s="14" t="s">
        <v>1041</v>
      </c>
      <c r="J7" s="14" t="s">
        <v>1042</v>
      </c>
      <c r="K7" s="14" t="s">
        <v>1043</v>
      </c>
      <c r="L7" s="14" t="s">
        <v>1044</v>
      </c>
      <c r="M7" s="14" t="s">
        <v>1071</v>
      </c>
    </row>
    <row r="8" customFormat="false" ht="15" hidden="false" customHeight="false" outlineLevel="0" collapsed="false">
      <c r="A8" s="14" t="s">
        <v>1072</v>
      </c>
      <c r="B8" s="14" t="s">
        <v>1073</v>
      </c>
      <c r="C8" s="14" t="s">
        <v>1074</v>
      </c>
      <c r="D8" s="29" t="n">
        <v>45505</v>
      </c>
      <c r="E8" s="14" t="s">
        <v>1052</v>
      </c>
      <c r="F8" s="14" t="s">
        <v>1038</v>
      </c>
      <c r="G8" s="14" t="s">
        <v>1075</v>
      </c>
      <c r="H8" s="14" t="s">
        <v>1040</v>
      </c>
      <c r="I8" s="14" t="s">
        <v>1041</v>
      </c>
      <c r="J8" s="14" t="s">
        <v>1042</v>
      </c>
      <c r="K8" s="14" t="s">
        <v>1043</v>
      </c>
      <c r="L8" s="14" t="s">
        <v>1044</v>
      </c>
      <c r="M8" s="14" t="s">
        <v>1076</v>
      </c>
    </row>
    <row r="9" customFormat="false" ht="15" hidden="false" customHeight="false" outlineLevel="0" collapsed="false">
      <c r="A9" s="14" t="s">
        <v>1077</v>
      </c>
      <c r="B9" s="14" t="s">
        <v>1078</v>
      </c>
      <c r="C9" s="14" t="s">
        <v>1079</v>
      </c>
      <c r="D9" s="29" t="n">
        <v>45581</v>
      </c>
      <c r="E9" s="14" t="s">
        <v>1052</v>
      </c>
      <c r="F9" s="14" t="s">
        <v>1038</v>
      </c>
      <c r="G9" s="14" t="s">
        <v>1080</v>
      </c>
      <c r="H9" s="14" t="s">
        <v>1040</v>
      </c>
      <c r="I9" s="14" t="s">
        <v>1041</v>
      </c>
      <c r="J9" s="14" t="s">
        <v>1042</v>
      </c>
      <c r="K9" s="14" t="s">
        <v>1043</v>
      </c>
      <c r="L9" s="14" t="s">
        <v>1044</v>
      </c>
      <c r="M9" s="14" t="s">
        <v>1081</v>
      </c>
    </row>
    <row r="10" customFormat="false" ht="15" hidden="false" customHeight="false" outlineLevel="0" collapsed="false">
      <c r="A10" s="14" t="s">
        <v>1082</v>
      </c>
      <c r="B10" s="14" t="s">
        <v>1083</v>
      </c>
      <c r="C10" s="14" t="s">
        <v>1084</v>
      </c>
      <c r="D10" s="29" t="n">
        <v>45727</v>
      </c>
      <c r="E10" s="14" t="s">
        <v>1085</v>
      </c>
      <c r="F10" s="14" t="s">
        <v>1038</v>
      </c>
      <c r="G10" s="14" t="s">
        <v>1086</v>
      </c>
      <c r="H10" s="14" t="s">
        <v>1040</v>
      </c>
      <c r="I10" s="14" t="s">
        <v>1041</v>
      </c>
      <c r="J10" s="14" t="s">
        <v>1042</v>
      </c>
      <c r="K10" s="14" t="s">
        <v>1043</v>
      </c>
      <c r="L10" s="14" t="s">
        <v>1044</v>
      </c>
      <c r="M10" s="14" t="s">
        <v>1087</v>
      </c>
    </row>
    <row r="11" customFormat="false" ht="15" hidden="false" customHeight="false" outlineLevel="0" collapsed="false">
      <c r="A11" s="14" t="s">
        <v>1088</v>
      </c>
      <c r="B11" s="14" t="s">
        <v>1083</v>
      </c>
      <c r="C11" s="14" t="s">
        <v>1089</v>
      </c>
      <c r="D11" s="29" t="n">
        <v>45814</v>
      </c>
      <c r="E11" s="14" t="s">
        <v>1090</v>
      </c>
      <c r="F11" s="14" t="s">
        <v>1038</v>
      </c>
      <c r="G11" s="14" t="s">
        <v>1091</v>
      </c>
      <c r="H11" s="14" t="s">
        <v>1040</v>
      </c>
      <c r="I11" s="14" t="s">
        <v>1041</v>
      </c>
      <c r="J11" s="14" t="s">
        <v>1042</v>
      </c>
      <c r="K11" s="14" t="s">
        <v>1043</v>
      </c>
      <c r="L11" s="14" t="s">
        <v>1044</v>
      </c>
      <c r="M11" s="14" t="s">
        <v>1087</v>
      </c>
    </row>
    <row r="12" customFormat="false" ht="15" hidden="false" customHeight="false" outlineLevel="0" collapsed="false">
      <c r="A12" s="14" t="s">
        <v>1092</v>
      </c>
      <c r="B12" s="14" t="s">
        <v>1083</v>
      </c>
      <c r="C12" s="14" t="s">
        <v>1093</v>
      </c>
      <c r="D12" s="29" t="n">
        <v>45905</v>
      </c>
      <c r="E12" s="14" t="s">
        <v>1094</v>
      </c>
      <c r="F12" s="14" t="s">
        <v>1038</v>
      </c>
      <c r="G12" s="14" t="s">
        <v>1095</v>
      </c>
      <c r="H12" s="14" t="s">
        <v>1040</v>
      </c>
      <c r="I12" s="14" t="s">
        <v>1041</v>
      </c>
      <c r="J12" s="14" t="s">
        <v>1042</v>
      </c>
      <c r="K12" s="14" t="s">
        <v>1043</v>
      </c>
      <c r="L12" s="14" t="s">
        <v>1044</v>
      </c>
      <c r="M12" s="14" t="s">
        <v>1087</v>
      </c>
    </row>
    <row r="13" customFormat="false" ht="15" hidden="false" customHeight="false" outlineLevel="0" collapsed="false">
      <c r="A13" s="14" t="s">
        <v>1096</v>
      </c>
      <c r="B13" s="14" t="s">
        <v>1035</v>
      </c>
      <c r="C13" s="14" t="s">
        <v>1097</v>
      </c>
      <c r="D13" s="29" t="n">
        <v>45642</v>
      </c>
      <c r="E13" s="14" t="s">
        <v>1098</v>
      </c>
      <c r="F13" s="14" t="s">
        <v>1038</v>
      </c>
      <c r="G13" s="14" t="s">
        <v>1099</v>
      </c>
      <c r="H13" s="14" t="s">
        <v>1040</v>
      </c>
      <c r="I13" s="14" t="s">
        <v>1041</v>
      </c>
      <c r="J13" s="14" t="s">
        <v>1042</v>
      </c>
      <c r="K13" s="14" t="s">
        <v>1043</v>
      </c>
      <c r="L13" s="14" t="s">
        <v>1044</v>
      </c>
      <c r="M13" s="14" t="s">
        <v>1100</v>
      </c>
    </row>
    <row r="14" customFormat="false" ht="15" hidden="false" customHeight="false" outlineLevel="0" collapsed="false">
      <c r="A14" s="14" t="s">
        <v>1101</v>
      </c>
      <c r="B14" s="14" t="s">
        <v>1035</v>
      </c>
      <c r="C14" s="14" t="s">
        <v>1102</v>
      </c>
      <c r="D14" s="29" t="n">
        <v>45275</v>
      </c>
      <c r="E14" s="14" t="s">
        <v>1103</v>
      </c>
      <c r="F14" s="14" t="s">
        <v>1038</v>
      </c>
      <c r="G14" s="14" t="s">
        <v>1104</v>
      </c>
      <c r="H14" s="14" t="s">
        <v>1040</v>
      </c>
      <c r="I14" s="14" t="s">
        <v>1041</v>
      </c>
      <c r="J14" s="14" t="s">
        <v>1042</v>
      </c>
      <c r="K14" s="14" t="s">
        <v>1043</v>
      </c>
      <c r="L14" s="14" t="s">
        <v>1044</v>
      </c>
      <c r="M14" s="14" t="s">
        <v>1105</v>
      </c>
    </row>
    <row r="15" customFormat="false" ht="15" hidden="false" customHeight="false" outlineLevel="0" collapsed="false">
      <c r="A15" s="14" t="s">
        <v>1106</v>
      </c>
      <c r="B15" s="14" t="s">
        <v>1035</v>
      </c>
      <c r="C15" s="14" t="s">
        <v>1107</v>
      </c>
      <c r="D15" s="29" t="n">
        <v>44911</v>
      </c>
      <c r="E15" s="14" t="s">
        <v>1108</v>
      </c>
      <c r="F15" s="14" t="s">
        <v>1038</v>
      </c>
      <c r="G15" s="14" t="s">
        <v>1109</v>
      </c>
      <c r="H15" s="14" t="s">
        <v>1040</v>
      </c>
      <c r="I15" s="14" t="s">
        <v>1041</v>
      </c>
      <c r="J15" s="14" t="s">
        <v>1042</v>
      </c>
      <c r="K15" s="14" t="s">
        <v>1043</v>
      </c>
      <c r="L15" s="14" t="s">
        <v>1044</v>
      </c>
      <c r="M15" s="14" t="s">
        <v>1110</v>
      </c>
    </row>
    <row r="16" customFormat="false" ht="15" hidden="false" customHeight="false" outlineLevel="0" collapsed="false">
      <c r="A16" s="14" t="s">
        <v>1111</v>
      </c>
      <c r="B16" s="14" t="s">
        <v>1035</v>
      </c>
      <c r="C16" s="14" t="s">
        <v>1112</v>
      </c>
      <c r="D16" s="29" t="n">
        <v>44547</v>
      </c>
      <c r="E16" s="14" t="s">
        <v>1113</v>
      </c>
      <c r="F16" s="14" t="s">
        <v>1038</v>
      </c>
      <c r="G16" s="14" t="s">
        <v>1114</v>
      </c>
      <c r="H16" s="14" t="s">
        <v>1040</v>
      </c>
      <c r="I16" s="14" t="s">
        <v>1041</v>
      </c>
      <c r="J16" s="14" t="s">
        <v>1042</v>
      </c>
      <c r="K16" s="14" t="s">
        <v>1043</v>
      </c>
      <c r="L16" s="14" t="s">
        <v>1044</v>
      </c>
      <c r="M16" s="14" t="s">
        <v>1115</v>
      </c>
    </row>
    <row r="17" customFormat="false" ht="15" hidden="false" customHeight="false" outlineLevel="0" collapsed="false">
      <c r="A17" s="14" t="s">
        <v>1116</v>
      </c>
      <c r="B17" s="14" t="s">
        <v>1046</v>
      </c>
      <c r="C17" s="14" t="s">
        <v>1117</v>
      </c>
      <c r="D17" s="29" t="n">
        <v>45813</v>
      </c>
      <c r="E17" s="14" t="s">
        <v>1090</v>
      </c>
      <c r="F17" s="14" t="s">
        <v>1038</v>
      </c>
      <c r="G17" s="14" t="s">
        <v>1118</v>
      </c>
      <c r="H17" s="14" t="s">
        <v>1040</v>
      </c>
      <c r="I17" s="14" t="s">
        <v>1041</v>
      </c>
      <c r="J17" s="14" t="s">
        <v>1042</v>
      </c>
      <c r="K17" s="14" t="s">
        <v>1043</v>
      </c>
      <c r="L17" s="14" t="s">
        <v>1044</v>
      </c>
      <c r="M17" s="14" t="s">
        <v>1119</v>
      </c>
    </row>
    <row r="18" customFormat="false" ht="15" hidden="false" customHeight="false" outlineLevel="0" collapsed="false">
      <c r="A18" s="14" t="s">
        <v>1120</v>
      </c>
      <c r="B18" s="14" t="s">
        <v>1121</v>
      </c>
      <c r="C18" s="14" t="s">
        <v>1122</v>
      </c>
      <c r="D18" s="29" t="n">
        <v>46006</v>
      </c>
      <c r="E18" s="14" t="s">
        <v>1123</v>
      </c>
      <c r="F18" s="14" t="s">
        <v>1124</v>
      </c>
      <c r="G18" s="14" t="s">
        <v>1125</v>
      </c>
      <c r="H18" s="14" t="s">
        <v>1123</v>
      </c>
      <c r="I18" s="14" t="s">
        <v>1123</v>
      </c>
      <c r="J18" s="14" t="s">
        <v>1126</v>
      </c>
      <c r="K18" s="14" t="s">
        <v>784</v>
      </c>
      <c r="L18" s="14" t="s">
        <v>1127</v>
      </c>
      <c r="M18" s="14" t="s">
        <v>1128</v>
      </c>
    </row>
    <row r="19" customFormat="false" ht="15" hidden="false" customHeight="false" outlineLevel="0" collapsed="false">
      <c r="A19" s="14" t="s">
        <v>82</v>
      </c>
      <c r="B19" s="14" t="s">
        <v>1121</v>
      </c>
      <c r="C19" s="14" t="s">
        <v>1129</v>
      </c>
      <c r="D19" s="29" t="n">
        <v>46006</v>
      </c>
      <c r="E19" s="14" t="s">
        <v>695</v>
      </c>
      <c r="F19" s="14" t="s">
        <v>1130</v>
      </c>
      <c r="G19" s="14" t="s">
        <v>1125</v>
      </c>
      <c r="H19" s="14" t="s">
        <v>695</v>
      </c>
      <c r="I19" s="14" t="s">
        <v>695</v>
      </c>
      <c r="J19" s="14" t="s">
        <v>1131</v>
      </c>
      <c r="K19" s="14" t="s">
        <v>784</v>
      </c>
      <c r="L19" s="14" t="s">
        <v>1127</v>
      </c>
      <c r="M19" s="14" t="s">
        <v>1128</v>
      </c>
    </row>
    <row r="20" customFormat="false" ht="15" hidden="false" customHeight="false" outlineLevel="0" collapsed="false">
      <c r="A20" s="14" t="s">
        <v>1132</v>
      </c>
      <c r="B20" s="14" t="s">
        <v>1121</v>
      </c>
      <c r="C20" s="14" t="s">
        <v>1133</v>
      </c>
      <c r="D20" s="29" t="n">
        <v>46006</v>
      </c>
      <c r="E20" s="14" t="s">
        <v>695</v>
      </c>
      <c r="F20" s="14" t="s">
        <v>1130</v>
      </c>
      <c r="G20" s="14" t="s">
        <v>1125</v>
      </c>
      <c r="H20" s="14" t="s">
        <v>695</v>
      </c>
      <c r="I20" s="14" t="s">
        <v>695</v>
      </c>
      <c r="J20" s="14" t="s">
        <v>1131</v>
      </c>
      <c r="K20" s="14" t="s">
        <v>784</v>
      </c>
      <c r="L20" s="14" t="s">
        <v>1127</v>
      </c>
      <c r="M20" s="14" t="s">
        <v>1128</v>
      </c>
    </row>
    <row r="21" customFormat="false" ht="15" hidden="false" customHeight="false" outlineLevel="0" collapsed="false">
      <c r="A21" s="14" t="s">
        <v>1134</v>
      </c>
      <c r="B21" s="14" t="s">
        <v>1121</v>
      </c>
      <c r="C21" s="14" t="s">
        <v>1135</v>
      </c>
      <c r="D21" s="29" t="n">
        <v>46006</v>
      </c>
      <c r="E21" s="14" t="s">
        <v>695</v>
      </c>
      <c r="F21" s="14" t="s">
        <v>1136</v>
      </c>
      <c r="G21" s="14" t="s">
        <v>1125</v>
      </c>
      <c r="H21" s="14" t="s">
        <v>695</v>
      </c>
      <c r="I21" s="14" t="s">
        <v>695</v>
      </c>
      <c r="J21" s="14" t="s">
        <v>1137</v>
      </c>
      <c r="K21" s="14" t="s">
        <v>784</v>
      </c>
      <c r="L21" s="14" t="s">
        <v>1127</v>
      </c>
      <c r="M21" s="14" t="s">
        <v>1128</v>
      </c>
    </row>
    <row r="22" customFormat="false" ht="15" hidden="false" customHeight="false" outlineLevel="0" collapsed="false">
      <c r="A22" s="14" t="s">
        <v>1138</v>
      </c>
      <c r="B22" s="14" t="s">
        <v>1121</v>
      </c>
      <c r="C22" s="14" t="s">
        <v>1139</v>
      </c>
      <c r="D22" s="29" t="n">
        <v>46006</v>
      </c>
      <c r="E22" s="14" t="s">
        <v>695</v>
      </c>
      <c r="F22" s="14" t="s">
        <v>1136</v>
      </c>
      <c r="G22" s="14" t="s">
        <v>1125</v>
      </c>
      <c r="H22" s="14" t="s">
        <v>695</v>
      </c>
      <c r="I22" s="14" t="s">
        <v>695</v>
      </c>
      <c r="J22" s="14" t="s">
        <v>1137</v>
      </c>
      <c r="K22" s="14" t="s">
        <v>784</v>
      </c>
      <c r="L22" s="14" t="s">
        <v>1127</v>
      </c>
      <c r="M22" s="14" t="s">
        <v>1128</v>
      </c>
    </row>
    <row r="23" customFormat="false" ht="15" hidden="false" customHeight="false" outlineLevel="0" collapsed="false">
      <c r="A23" s="14" t="s">
        <v>1140</v>
      </c>
      <c r="B23" s="14" t="s">
        <v>1121</v>
      </c>
      <c r="C23" s="14" t="s">
        <v>1141</v>
      </c>
      <c r="D23" s="29" t="n">
        <v>46006</v>
      </c>
      <c r="E23" s="14" t="s">
        <v>695</v>
      </c>
      <c r="F23" s="14" t="s">
        <v>1136</v>
      </c>
      <c r="G23" s="14" t="s">
        <v>1125</v>
      </c>
      <c r="H23" s="14" t="s">
        <v>695</v>
      </c>
      <c r="I23" s="14" t="s">
        <v>695</v>
      </c>
      <c r="J23" s="14" t="s">
        <v>1137</v>
      </c>
      <c r="K23" s="14" t="s">
        <v>784</v>
      </c>
      <c r="L23" s="14" t="s">
        <v>1127</v>
      </c>
      <c r="M23" s="14" t="s">
        <v>1128</v>
      </c>
    </row>
    <row r="24" customFormat="false" ht="15" hidden="false" customHeight="false" outlineLevel="0" collapsed="false">
      <c r="A24" s="14" t="s">
        <v>90</v>
      </c>
      <c r="B24" s="14" t="s">
        <v>1121</v>
      </c>
      <c r="C24" s="14" t="s">
        <v>1142</v>
      </c>
      <c r="D24" s="29" t="n">
        <v>46006</v>
      </c>
      <c r="E24" s="14" t="s">
        <v>695</v>
      </c>
      <c r="F24" s="14" t="s">
        <v>1143</v>
      </c>
      <c r="G24" s="14" t="s">
        <v>1125</v>
      </c>
      <c r="H24" s="14" t="s">
        <v>695</v>
      </c>
      <c r="I24" s="14" t="s">
        <v>695</v>
      </c>
      <c r="J24" s="14" t="s">
        <v>1144</v>
      </c>
      <c r="K24" s="14" t="s">
        <v>784</v>
      </c>
      <c r="L24" s="14" t="s">
        <v>1127</v>
      </c>
      <c r="M24" s="14" t="s">
        <v>1128</v>
      </c>
    </row>
    <row r="25" customFormat="false" ht="15" hidden="false" customHeight="false" outlineLevel="0" collapsed="false">
      <c r="A25" s="14" t="s">
        <v>1145</v>
      </c>
      <c r="B25" s="14" t="s">
        <v>1121</v>
      </c>
      <c r="C25" s="14" t="s">
        <v>1146</v>
      </c>
      <c r="D25" s="29" t="n">
        <v>46006</v>
      </c>
      <c r="E25" s="14" t="s">
        <v>695</v>
      </c>
      <c r="F25" s="14" t="s">
        <v>1130</v>
      </c>
      <c r="G25" s="14" t="s">
        <v>1125</v>
      </c>
      <c r="H25" s="14" t="s">
        <v>695</v>
      </c>
      <c r="I25" s="14" t="s">
        <v>695</v>
      </c>
      <c r="J25" s="14" t="s">
        <v>1147</v>
      </c>
      <c r="K25" s="14" t="s">
        <v>784</v>
      </c>
      <c r="L25" s="14" t="s">
        <v>1127</v>
      </c>
      <c r="M25" s="14" t="s">
        <v>1128</v>
      </c>
    </row>
    <row r="26" customFormat="false" ht="15" hidden="false" customHeight="false" outlineLevel="0" collapsed="false">
      <c r="A26" s="14" t="s">
        <v>96</v>
      </c>
      <c r="B26" s="14" t="s">
        <v>1121</v>
      </c>
      <c r="C26" s="14" t="s">
        <v>1148</v>
      </c>
      <c r="D26" s="29" t="n">
        <v>46006</v>
      </c>
      <c r="E26" s="14" t="s">
        <v>695</v>
      </c>
      <c r="F26" s="14" t="s">
        <v>1130</v>
      </c>
      <c r="G26" s="14" t="s">
        <v>1125</v>
      </c>
      <c r="H26" s="14" t="s">
        <v>695</v>
      </c>
      <c r="I26" s="14" t="s">
        <v>695</v>
      </c>
      <c r="J26" s="14" t="s">
        <v>1131</v>
      </c>
      <c r="K26" s="14" t="s">
        <v>784</v>
      </c>
      <c r="L26" s="14" t="s">
        <v>1127</v>
      </c>
      <c r="M26" s="14" t="s">
        <v>1128</v>
      </c>
    </row>
    <row r="27" customFormat="false" ht="15" hidden="false" customHeight="false" outlineLevel="0" collapsed="false">
      <c r="A27" s="14" t="s">
        <v>108</v>
      </c>
      <c r="B27" s="14" t="s">
        <v>1121</v>
      </c>
      <c r="C27" s="14" t="s">
        <v>1149</v>
      </c>
      <c r="D27" s="29" t="n">
        <v>46006</v>
      </c>
      <c r="E27" s="14" t="s">
        <v>695</v>
      </c>
      <c r="F27" s="14" t="s">
        <v>1130</v>
      </c>
      <c r="G27" s="14" t="s">
        <v>1125</v>
      </c>
      <c r="H27" s="14" t="s">
        <v>695</v>
      </c>
      <c r="I27" s="14" t="s">
        <v>695</v>
      </c>
      <c r="J27" s="14" t="s">
        <v>1147</v>
      </c>
      <c r="K27" s="14" t="s">
        <v>784</v>
      </c>
      <c r="L27" s="14" t="s">
        <v>1127</v>
      </c>
      <c r="M27" s="14" t="s">
        <v>1128</v>
      </c>
    </row>
    <row r="28" customFormat="false" ht="15" hidden="false" customHeight="false" outlineLevel="0" collapsed="false">
      <c r="A28" s="14" t="s">
        <v>1150</v>
      </c>
      <c r="B28" s="14" t="s">
        <v>1121</v>
      </c>
      <c r="C28" s="14" t="s">
        <v>1151</v>
      </c>
      <c r="D28" s="29" t="n">
        <v>46006</v>
      </c>
      <c r="E28" s="14" t="s">
        <v>695</v>
      </c>
      <c r="F28" s="14" t="s">
        <v>1130</v>
      </c>
      <c r="G28" s="14" t="s">
        <v>1125</v>
      </c>
      <c r="H28" s="14" t="s">
        <v>695</v>
      </c>
      <c r="I28" s="14" t="s">
        <v>695</v>
      </c>
      <c r="J28" s="14" t="s">
        <v>1137</v>
      </c>
      <c r="K28" s="14" t="s">
        <v>784</v>
      </c>
      <c r="L28" s="14" t="s">
        <v>1127</v>
      </c>
      <c r="M28" s="14" t="s">
        <v>1128</v>
      </c>
    </row>
    <row r="29" customFormat="false" ht="15" hidden="false" customHeight="false" outlineLevel="0" collapsed="false">
      <c r="A29" s="14" t="s">
        <v>119</v>
      </c>
      <c r="B29" s="14" t="s">
        <v>1121</v>
      </c>
      <c r="C29" s="14" t="s">
        <v>1152</v>
      </c>
      <c r="D29" s="29" t="n">
        <v>46006</v>
      </c>
      <c r="E29" s="14" t="s">
        <v>695</v>
      </c>
      <c r="F29" s="14" t="s">
        <v>1130</v>
      </c>
      <c r="G29" s="14" t="s">
        <v>1125</v>
      </c>
      <c r="H29" s="14" t="s">
        <v>695</v>
      </c>
      <c r="I29" s="14" t="s">
        <v>695</v>
      </c>
      <c r="J29" s="14" t="s">
        <v>1131</v>
      </c>
      <c r="K29" s="14" t="s">
        <v>784</v>
      </c>
      <c r="L29" s="14" t="s">
        <v>1127</v>
      </c>
      <c r="M29" s="14" t="s">
        <v>1128</v>
      </c>
    </row>
    <row r="30" customFormat="false" ht="15" hidden="false" customHeight="false" outlineLevel="0" collapsed="false">
      <c r="A30" s="14" t="s">
        <v>115</v>
      </c>
      <c r="B30" s="14" t="s">
        <v>1121</v>
      </c>
      <c r="C30" s="14" t="s">
        <v>1153</v>
      </c>
      <c r="D30" s="29" t="n">
        <v>46006</v>
      </c>
      <c r="E30" s="14" t="s">
        <v>1154</v>
      </c>
      <c r="F30" s="14" t="s">
        <v>1130</v>
      </c>
      <c r="G30" s="14" t="s">
        <v>1125</v>
      </c>
      <c r="H30" s="14" t="s">
        <v>1154</v>
      </c>
      <c r="I30" s="14" t="s">
        <v>1154</v>
      </c>
      <c r="J30" s="14" t="s">
        <v>1131</v>
      </c>
      <c r="K30" s="14" t="s">
        <v>784</v>
      </c>
      <c r="L30" s="14" t="s">
        <v>1127</v>
      </c>
      <c r="M30" s="14" t="s">
        <v>1128</v>
      </c>
    </row>
    <row r="31" customFormat="false" ht="15" hidden="false" customHeight="false" outlineLevel="0" collapsed="false">
      <c r="A31" s="14" t="s">
        <v>1155</v>
      </c>
      <c r="B31" s="14" t="s">
        <v>1121</v>
      </c>
      <c r="C31" s="14" t="s">
        <v>1156</v>
      </c>
      <c r="D31" s="29" t="n">
        <v>46006</v>
      </c>
      <c r="E31" s="14" t="s">
        <v>695</v>
      </c>
      <c r="F31" s="14" t="s">
        <v>1136</v>
      </c>
      <c r="G31" s="14" t="s">
        <v>1125</v>
      </c>
      <c r="H31" s="14" t="s">
        <v>695</v>
      </c>
      <c r="I31" s="14" t="s">
        <v>695</v>
      </c>
      <c r="J31" s="14" t="s">
        <v>1137</v>
      </c>
      <c r="K31" s="14" t="s">
        <v>784</v>
      </c>
      <c r="L31" s="14" t="s">
        <v>1127</v>
      </c>
      <c r="M31" s="14" t="s">
        <v>1128</v>
      </c>
    </row>
    <row r="32" customFormat="false" ht="15" hidden="false" customHeight="false" outlineLevel="0" collapsed="false">
      <c r="A32" s="14" t="s">
        <v>1157</v>
      </c>
      <c r="B32" s="14" t="s">
        <v>1121</v>
      </c>
      <c r="C32" s="14" t="s">
        <v>1158</v>
      </c>
      <c r="D32" s="29" t="n">
        <v>46006</v>
      </c>
      <c r="E32" s="14" t="s">
        <v>162</v>
      </c>
      <c r="F32" s="14" t="s">
        <v>1136</v>
      </c>
      <c r="G32" s="14" t="s">
        <v>1125</v>
      </c>
      <c r="H32" s="14" t="s">
        <v>162</v>
      </c>
      <c r="I32" s="14" t="s">
        <v>162</v>
      </c>
      <c r="J32" s="14" t="s">
        <v>1137</v>
      </c>
      <c r="K32" s="14" t="s">
        <v>784</v>
      </c>
      <c r="L32" s="14" t="s">
        <v>1127</v>
      </c>
      <c r="M32" s="14" t="s">
        <v>1128</v>
      </c>
    </row>
    <row r="33" customFormat="false" ht="15" hidden="false" customHeight="false" outlineLevel="0" collapsed="false">
      <c r="A33" s="14" t="s">
        <v>123</v>
      </c>
      <c r="B33" s="14" t="s">
        <v>1121</v>
      </c>
      <c r="C33" s="14" t="s">
        <v>1159</v>
      </c>
      <c r="D33" s="29" t="n">
        <v>46006</v>
      </c>
      <c r="E33" s="14" t="s">
        <v>1160</v>
      </c>
      <c r="F33" s="14" t="s">
        <v>1161</v>
      </c>
      <c r="G33" s="14" t="s">
        <v>1125</v>
      </c>
      <c r="H33" s="14" t="s">
        <v>1160</v>
      </c>
      <c r="I33" s="14" t="s">
        <v>1160</v>
      </c>
      <c r="J33" s="14" t="s">
        <v>1131</v>
      </c>
      <c r="K33" s="14" t="s">
        <v>784</v>
      </c>
      <c r="L33" s="14" t="s">
        <v>1127</v>
      </c>
      <c r="M33" s="14" t="s">
        <v>1128</v>
      </c>
    </row>
    <row r="34" customFormat="false" ht="15" hidden="false" customHeight="false" outlineLevel="0" collapsed="false">
      <c r="A34" s="14" t="s">
        <v>186</v>
      </c>
      <c r="B34" s="14" t="s">
        <v>1121</v>
      </c>
      <c r="C34" s="14" t="s">
        <v>1162</v>
      </c>
      <c r="D34" s="29" t="n">
        <v>46006</v>
      </c>
      <c r="E34" s="14" t="s">
        <v>185</v>
      </c>
      <c r="F34" s="14" t="s">
        <v>1163</v>
      </c>
      <c r="G34" s="14" t="s">
        <v>1125</v>
      </c>
      <c r="H34" s="14" t="s">
        <v>185</v>
      </c>
      <c r="I34" s="14" t="s">
        <v>185</v>
      </c>
      <c r="J34" s="14" t="s">
        <v>1131</v>
      </c>
      <c r="K34" s="14" t="s">
        <v>784</v>
      </c>
      <c r="L34" s="14" t="s">
        <v>1127</v>
      </c>
      <c r="M34" s="14" t="s">
        <v>1128</v>
      </c>
    </row>
    <row r="35" customFormat="false" ht="15" hidden="false" customHeight="false" outlineLevel="0" collapsed="false">
      <c r="A35" s="14" t="s">
        <v>1164</v>
      </c>
      <c r="B35" s="14" t="s">
        <v>1121</v>
      </c>
      <c r="C35" s="14" t="s">
        <v>1165</v>
      </c>
      <c r="D35" s="29" t="n">
        <v>46006</v>
      </c>
      <c r="E35" s="14" t="s">
        <v>1166</v>
      </c>
      <c r="F35" s="14" t="s">
        <v>1167</v>
      </c>
      <c r="G35" s="14" t="s">
        <v>1125</v>
      </c>
      <c r="H35" s="14" t="s">
        <v>1166</v>
      </c>
      <c r="I35" s="14" t="s">
        <v>1166</v>
      </c>
      <c r="J35" s="14" t="s">
        <v>1168</v>
      </c>
      <c r="K35" s="14" t="s">
        <v>784</v>
      </c>
      <c r="L35" s="14" t="s">
        <v>1127</v>
      </c>
      <c r="M35" s="14" t="s">
        <v>1128</v>
      </c>
    </row>
    <row r="36" customFormat="false" ht="15" hidden="false" customHeight="false" outlineLevel="0" collapsed="false">
      <c r="A36" s="14" t="s">
        <v>141</v>
      </c>
      <c r="B36" s="14" t="s">
        <v>1121</v>
      </c>
      <c r="C36" s="14" t="s">
        <v>1169</v>
      </c>
      <c r="D36" s="29" t="n">
        <v>46006</v>
      </c>
      <c r="E36" s="14" t="s">
        <v>122</v>
      </c>
      <c r="F36" s="14" t="s">
        <v>1167</v>
      </c>
      <c r="G36" s="14" t="s">
        <v>1125</v>
      </c>
      <c r="H36" s="14" t="s">
        <v>122</v>
      </c>
      <c r="I36" s="14" t="s">
        <v>122</v>
      </c>
      <c r="J36" s="14" t="s">
        <v>1170</v>
      </c>
      <c r="K36" s="14" t="s">
        <v>784</v>
      </c>
      <c r="L36" s="14" t="s">
        <v>1127</v>
      </c>
      <c r="M36" s="14" t="s">
        <v>1128</v>
      </c>
    </row>
    <row r="37" customFormat="false" ht="15" hidden="false" customHeight="false" outlineLevel="0" collapsed="false">
      <c r="A37" s="14" t="s">
        <v>130</v>
      </c>
      <c r="B37" s="14" t="s">
        <v>1121</v>
      </c>
      <c r="C37" s="14" t="s">
        <v>1171</v>
      </c>
      <c r="D37" s="29" t="n">
        <v>46006</v>
      </c>
      <c r="E37" s="14" t="s">
        <v>695</v>
      </c>
      <c r="F37" s="14" t="s">
        <v>855</v>
      </c>
      <c r="G37" s="14" t="s">
        <v>1125</v>
      </c>
      <c r="H37" s="14" t="s">
        <v>695</v>
      </c>
      <c r="I37" s="14" t="s">
        <v>695</v>
      </c>
      <c r="J37" s="14" t="s">
        <v>1172</v>
      </c>
      <c r="K37" s="14" t="s">
        <v>784</v>
      </c>
      <c r="L37" s="14" t="s">
        <v>1127</v>
      </c>
      <c r="M37" s="14" t="s">
        <v>1128</v>
      </c>
    </row>
    <row r="38" customFormat="false" ht="15" hidden="false" customHeight="false" outlineLevel="0" collapsed="false">
      <c r="A38" s="14" t="s">
        <v>155</v>
      </c>
      <c r="B38" s="14" t="s">
        <v>1121</v>
      </c>
      <c r="C38" s="14" t="s">
        <v>1173</v>
      </c>
      <c r="D38" s="29" t="n">
        <v>46006</v>
      </c>
      <c r="E38" s="14" t="s">
        <v>695</v>
      </c>
      <c r="F38" s="14" t="s">
        <v>855</v>
      </c>
      <c r="G38" s="14" t="s">
        <v>1125</v>
      </c>
      <c r="H38" s="14" t="s">
        <v>695</v>
      </c>
      <c r="I38" s="14" t="s">
        <v>695</v>
      </c>
      <c r="J38" s="14" t="s">
        <v>1131</v>
      </c>
      <c r="K38" s="14" t="s">
        <v>784</v>
      </c>
      <c r="L38" s="14" t="s">
        <v>1127</v>
      </c>
      <c r="M38" s="14" t="s">
        <v>1128</v>
      </c>
    </row>
    <row r="39" customFormat="false" ht="15" hidden="false" customHeight="false" outlineLevel="0" collapsed="false">
      <c r="A39" s="14" t="s">
        <v>163</v>
      </c>
      <c r="B39" s="14" t="s">
        <v>1121</v>
      </c>
      <c r="C39" s="14" t="s">
        <v>1174</v>
      </c>
      <c r="D39" s="29" t="n">
        <v>46006</v>
      </c>
      <c r="E39" s="14" t="s">
        <v>162</v>
      </c>
      <c r="F39" s="14" t="s">
        <v>1175</v>
      </c>
      <c r="G39" s="14" t="s">
        <v>1125</v>
      </c>
      <c r="H39" s="14" t="s">
        <v>162</v>
      </c>
      <c r="I39" s="14" t="s">
        <v>162</v>
      </c>
      <c r="J39" s="14" t="s">
        <v>1131</v>
      </c>
      <c r="K39" s="14" t="s">
        <v>784</v>
      </c>
      <c r="L39" s="14" t="s">
        <v>1127</v>
      </c>
      <c r="M39" s="14" t="s">
        <v>1128</v>
      </c>
    </row>
    <row r="40" customFormat="false" ht="15" hidden="false" customHeight="false" outlineLevel="0" collapsed="false">
      <c r="A40" s="14" t="s">
        <v>166</v>
      </c>
      <c r="B40" s="14" t="s">
        <v>1121</v>
      </c>
      <c r="C40" s="14" t="s">
        <v>1176</v>
      </c>
      <c r="D40" s="29" t="n">
        <v>46006</v>
      </c>
      <c r="E40" s="14" t="s">
        <v>162</v>
      </c>
      <c r="F40" s="14" t="s">
        <v>1175</v>
      </c>
      <c r="G40" s="14" t="s">
        <v>1125</v>
      </c>
      <c r="H40" s="14" t="s">
        <v>162</v>
      </c>
      <c r="I40" s="14" t="s">
        <v>162</v>
      </c>
      <c r="J40" s="14" t="s">
        <v>1131</v>
      </c>
      <c r="K40" s="14" t="s">
        <v>784</v>
      </c>
      <c r="L40" s="14" t="s">
        <v>1127</v>
      </c>
      <c r="M40" s="14" t="s">
        <v>1128</v>
      </c>
    </row>
    <row r="41" customFormat="false" ht="15" hidden="false" customHeight="false" outlineLevel="0" collapsed="false">
      <c r="A41" s="14" t="s">
        <v>169</v>
      </c>
      <c r="B41" s="14" t="s">
        <v>1121</v>
      </c>
      <c r="C41" s="14" t="s">
        <v>1177</v>
      </c>
      <c r="D41" s="29" t="n">
        <v>46006</v>
      </c>
      <c r="E41" s="14" t="s">
        <v>162</v>
      </c>
      <c r="F41" s="14" t="s">
        <v>1175</v>
      </c>
      <c r="G41" s="14" t="s">
        <v>1125</v>
      </c>
      <c r="H41" s="14" t="s">
        <v>162</v>
      </c>
      <c r="I41" s="14" t="s">
        <v>162</v>
      </c>
      <c r="J41" s="14" t="s">
        <v>1131</v>
      </c>
      <c r="K41" s="14" t="s">
        <v>784</v>
      </c>
      <c r="L41" s="14" t="s">
        <v>1127</v>
      </c>
      <c r="M41" s="14" t="s">
        <v>1128</v>
      </c>
    </row>
    <row r="42" customFormat="false" ht="15" hidden="false" customHeight="false" outlineLevel="0" collapsed="false">
      <c r="A42" s="14" t="s">
        <v>172</v>
      </c>
      <c r="B42" s="14" t="s">
        <v>1121</v>
      </c>
      <c r="C42" s="14" t="s">
        <v>1178</v>
      </c>
      <c r="D42" s="29" t="n">
        <v>46006</v>
      </c>
      <c r="E42" s="14" t="s">
        <v>162</v>
      </c>
      <c r="F42" s="14" t="s">
        <v>1175</v>
      </c>
      <c r="G42" s="14" t="s">
        <v>1125</v>
      </c>
      <c r="H42" s="14" t="s">
        <v>162</v>
      </c>
      <c r="I42" s="14" t="s">
        <v>162</v>
      </c>
      <c r="J42" s="14" t="s">
        <v>1131</v>
      </c>
      <c r="K42" s="14" t="s">
        <v>784</v>
      </c>
      <c r="L42" s="14" t="s">
        <v>1127</v>
      </c>
      <c r="M42" s="14" t="s">
        <v>1128</v>
      </c>
    </row>
    <row r="43" customFormat="false" ht="15" hidden="false" customHeight="false" outlineLevel="0" collapsed="false">
      <c r="A43" s="14" t="s">
        <v>147</v>
      </c>
      <c r="B43" s="14" t="s">
        <v>1121</v>
      </c>
      <c r="C43" s="14" t="s">
        <v>1179</v>
      </c>
      <c r="D43" s="29" t="n">
        <v>46006</v>
      </c>
      <c r="E43" s="14" t="s">
        <v>695</v>
      </c>
      <c r="F43" s="14" t="s">
        <v>1175</v>
      </c>
      <c r="G43" s="14" t="s">
        <v>1125</v>
      </c>
      <c r="H43" s="14" t="s">
        <v>695</v>
      </c>
      <c r="I43" s="14" t="s">
        <v>695</v>
      </c>
      <c r="J43" s="14" t="s">
        <v>1131</v>
      </c>
      <c r="K43" s="14" t="s">
        <v>784</v>
      </c>
      <c r="L43" s="14" t="s">
        <v>1127</v>
      </c>
      <c r="M43" s="14" t="s">
        <v>1128</v>
      </c>
    </row>
    <row r="44" customFormat="false" ht="15" hidden="false" customHeight="false" outlineLevel="0" collapsed="false">
      <c r="A44" s="14" t="s">
        <v>177</v>
      </c>
      <c r="B44" s="14" t="s">
        <v>1121</v>
      </c>
      <c r="C44" s="14" t="s">
        <v>1180</v>
      </c>
      <c r="D44" s="29" t="n">
        <v>46006</v>
      </c>
      <c r="E44" s="14" t="s">
        <v>162</v>
      </c>
      <c r="F44" s="14" t="s">
        <v>1181</v>
      </c>
      <c r="G44" s="14" t="s">
        <v>1125</v>
      </c>
      <c r="H44" s="14" t="s">
        <v>162</v>
      </c>
      <c r="I44" s="14" t="s">
        <v>162</v>
      </c>
      <c r="J44" s="14" t="s">
        <v>1131</v>
      </c>
      <c r="K44" s="14" t="s">
        <v>784</v>
      </c>
      <c r="L44" s="14" t="s">
        <v>1127</v>
      </c>
      <c r="M44" s="14" t="s">
        <v>1128</v>
      </c>
    </row>
    <row r="45" customFormat="false" ht="15" hidden="false" customHeight="false" outlineLevel="0" collapsed="false">
      <c r="A45" s="14" t="s">
        <v>180</v>
      </c>
      <c r="B45" s="14" t="s">
        <v>1121</v>
      </c>
      <c r="C45" s="14" t="s">
        <v>1182</v>
      </c>
      <c r="D45" s="29" t="n">
        <v>46006</v>
      </c>
      <c r="E45" s="14" t="s">
        <v>162</v>
      </c>
      <c r="F45" s="14" t="s">
        <v>1181</v>
      </c>
      <c r="G45" s="14" t="s">
        <v>1125</v>
      </c>
      <c r="H45" s="14" t="s">
        <v>162</v>
      </c>
      <c r="I45" s="14" t="s">
        <v>162</v>
      </c>
      <c r="J45" s="14" t="s">
        <v>1131</v>
      </c>
      <c r="K45" s="14" t="s">
        <v>784</v>
      </c>
      <c r="L45" s="14" t="s">
        <v>1127</v>
      </c>
      <c r="M45" s="14" t="s">
        <v>1128</v>
      </c>
    </row>
    <row r="46" customFormat="false" ht="15" hidden="false" customHeight="false" outlineLevel="0" collapsed="false">
      <c r="A46" s="14" t="s">
        <v>159</v>
      </c>
      <c r="B46" s="14" t="s">
        <v>1121</v>
      </c>
      <c r="C46" s="14" t="s">
        <v>1183</v>
      </c>
      <c r="D46" s="29" t="n">
        <v>46006</v>
      </c>
      <c r="E46" s="14" t="s">
        <v>695</v>
      </c>
      <c r="F46" s="14" t="s">
        <v>1181</v>
      </c>
      <c r="G46" s="14" t="s">
        <v>1125</v>
      </c>
      <c r="H46" s="14" t="s">
        <v>695</v>
      </c>
      <c r="I46" s="14" t="s">
        <v>695</v>
      </c>
      <c r="J46" s="14" t="s">
        <v>1131</v>
      </c>
      <c r="K46" s="14" t="s">
        <v>784</v>
      </c>
      <c r="L46" s="14" t="s">
        <v>1127</v>
      </c>
      <c r="M46" s="14" t="s">
        <v>1128</v>
      </c>
    </row>
    <row r="47" customFormat="false" ht="15" hidden="false" customHeight="false" outlineLevel="0" collapsed="false">
      <c r="A47" s="14" t="s">
        <v>87</v>
      </c>
      <c r="B47" s="14" t="s">
        <v>1121</v>
      </c>
      <c r="C47" s="14" t="s">
        <v>1184</v>
      </c>
      <c r="D47" s="29" t="n">
        <v>46006</v>
      </c>
      <c r="E47" s="14" t="s">
        <v>122</v>
      </c>
      <c r="F47" s="14" t="s">
        <v>1185</v>
      </c>
      <c r="G47" s="14" t="s">
        <v>1125</v>
      </c>
      <c r="H47" s="14" t="s">
        <v>122</v>
      </c>
      <c r="I47" s="14" t="s">
        <v>122</v>
      </c>
      <c r="J47" s="14" t="s">
        <v>1131</v>
      </c>
      <c r="K47" s="14" t="s">
        <v>784</v>
      </c>
      <c r="L47" s="14" t="s">
        <v>1127</v>
      </c>
      <c r="M47" s="14" t="s">
        <v>1128</v>
      </c>
    </row>
    <row r="48" customFormat="false" ht="15" hidden="false" customHeight="false" outlineLevel="0" collapsed="false">
      <c r="A48" s="14" t="s">
        <v>112</v>
      </c>
      <c r="B48" s="14" t="s">
        <v>1121</v>
      </c>
      <c r="C48" s="14" t="s">
        <v>1186</v>
      </c>
      <c r="D48" s="29" t="n">
        <v>46006</v>
      </c>
      <c r="E48" s="14" t="s">
        <v>1154</v>
      </c>
      <c r="F48" s="14" t="s">
        <v>1187</v>
      </c>
      <c r="G48" s="14" t="s">
        <v>1125</v>
      </c>
      <c r="H48" s="14" t="s">
        <v>1154</v>
      </c>
      <c r="I48" s="14" t="s">
        <v>1154</v>
      </c>
      <c r="J48" s="14" t="s">
        <v>1131</v>
      </c>
      <c r="K48" s="14" t="s">
        <v>784</v>
      </c>
      <c r="L48" s="14" t="s">
        <v>1127</v>
      </c>
      <c r="M48" s="14" t="s">
        <v>1128</v>
      </c>
    </row>
    <row r="49" customFormat="false" ht="15" hidden="false" customHeight="false" outlineLevel="0" collapsed="false">
      <c r="A49" s="14" t="s">
        <v>1188</v>
      </c>
      <c r="B49" s="14" t="s">
        <v>1121</v>
      </c>
      <c r="C49" s="14" t="s">
        <v>1189</v>
      </c>
      <c r="D49" s="29" t="n">
        <v>46006</v>
      </c>
      <c r="E49" s="14" t="s">
        <v>1154</v>
      </c>
      <c r="F49" s="14" t="s">
        <v>1187</v>
      </c>
      <c r="G49" s="14" t="s">
        <v>1125</v>
      </c>
      <c r="H49" s="14" t="s">
        <v>1154</v>
      </c>
      <c r="I49" s="14" t="s">
        <v>1154</v>
      </c>
      <c r="J49" s="14" t="s">
        <v>1131</v>
      </c>
      <c r="K49" s="14" t="s">
        <v>784</v>
      </c>
      <c r="L49" s="14" t="s">
        <v>1127</v>
      </c>
      <c r="M49" s="14" t="s">
        <v>1128</v>
      </c>
    </row>
    <row r="50" customFormat="false" ht="15" hidden="false" customHeight="false" outlineLevel="0" collapsed="false">
      <c r="A50" s="14" t="s">
        <v>1190</v>
      </c>
      <c r="B50" s="14" t="s">
        <v>1121</v>
      </c>
      <c r="C50" s="14" t="s">
        <v>1191</v>
      </c>
      <c r="D50" s="29" t="n">
        <v>46006</v>
      </c>
      <c r="E50" s="14" t="s">
        <v>695</v>
      </c>
      <c r="F50" s="14" t="s">
        <v>1192</v>
      </c>
      <c r="G50" s="14" t="s">
        <v>1125</v>
      </c>
      <c r="H50" s="14" t="s">
        <v>695</v>
      </c>
      <c r="I50" s="14" t="s">
        <v>695</v>
      </c>
      <c r="J50" s="14" t="s">
        <v>1193</v>
      </c>
      <c r="K50" s="14" t="s">
        <v>784</v>
      </c>
      <c r="L50" s="14" t="s">
        <v>1127</v>
      </c>
      <c r="M50" s="14" t="s">
        <v>1128</v>
      </c>
    </row>
    <row r="51" customFormat="false" ht="15" hidden="false" customHeight="false" outlineLevel="0" collapsed="false">
      <c r="A51" s="14" t="s">
        <v>1194</v>
      </c>
      <c r="B51" s="14" t="s">
        <v>1121</v>
      </c>
      <c r="C51" s="14" t="s">
        <v>1195</v>
      </c>
      <c r="D51" s="29" t="n">
        <v>46006</v>
      </c>
      <c r="E51" s="14" t="s">
        <v>1154</v>
      </c>
      <c r="F51" s="14" t="s">
        <v>1196</v>
      </c>
      <c r="G51" s="14" t="s">
        <v>1125</v>
      </c>
      <c r="H51" s="14" t="s">
        <v>1154</v>
      </c>
      <c r="I51" s="14" t="s">
        <v>1154</v>
      </c>
      <c r="J51" s="14" t="s">
        <v>1131</v>
      </c>
      <c r="K51" s="14" t="s">
        <v>784</v>
      </c>
      <c r="L51" s="14" t="s">
        <v>1127</v>
      </c>
      <c r="M51" s="14" t="s">
        <v>1128</v>
      </c>
    </row>
    <row r="52" customFormat="false" ht="15" hidden="false" customHeight="false" outlineLevel="0" collapsed="false">
      <c r="A52" s="14" t="s">
        <v>1197</v>
      </c>
      <c r="B52" s="14" t="s">
        <v>1121</v>
      </c>
      <c r="C52" s="14" t="s">
        <v>1198</v>
      </c>
      <c r="D52" s="29" t="n">
        <v>46006</v>
      </c>
      <c r="E52" s="14" t="s">
        <v>1154</v>
      </c>
      <c r="F52" s="14" t="s">
        <v>1196</v>
      </c>
      <c r="G52" s="14" t="s">
        <v>1125</v>
      </c>
      <c r="H52" s="14" t="s">
        <v>1154</v>
      </c>
      <c r="I52" s="14" t="s">
        <v>1154</v>
      </c>
      <c r="J52" s="14" t="s">
        <v>1131</v>
      </c>
      <c r="K52" s="14" t="s">
        <v>784</v>
      </c>
      <c r="L52" s="14" t="s">
        <v>1127</v>
      </c>
      <c r="M52" s="14" t="s">
        <v>1128</v>
      </c>
    </row>
    <row r="53" customFormat="false" ht="15" hidden="false" customHeight="false" outlineLevel="0" collapsed="false">
      <c r="A53" s="14" t="s">
        <v>1199</v>
      </c>
      <c r="B53" s="14" t="s">
        <v>1121</v>
      </c>
      <c r="C53" s="14" t="s">
        <v>1200</v>
      </c>
      <c r="D53" s="29" t="n">
        <v>46006</v>
      </c>
      <c r="E53" s="14" t="s">
        <v>1154</v>
      </c>
      <c r="F53" s="14" t="s">
        <v>1201</v>
      </c>
      <c r="G53" s="14" t="s">
        <v>1125</v>
      </c>
      <c r="H53" s="14" t="s">
        <v>1154</v>
      </c>
      <c r="I53" s="14" t="s">
        <v>1154</v>
      </c>
      <c r="J53" s="14" t="s">
        <v>1131</v>
      </c>
      <c r="K53" s="14" t="s">
        <v>784</v>
      </c>
      <c r="L53" s="14" t="s">
        <v>1127</v>
      </c>
      <c r="M53" s="14" t="s">
        <v>1128</v>
      </c>
    </row>
    <row r="54" customFormat="false" ht="15" hidden="false" customHeight="false" outlineLevel="0" collapsed="false">
      <c r="A54" s="14" t="s">
        <v>1202</v>
      </c>
      <c r="B54" s="14" t="s">
        <v>1121</v>
      </c>
      <c r="C54" s="14" t="s">
        <v>1203</v>
      </c>
      <c r="D54" s="29" t="n">
        <v>46006</v>
      </c>
      <c r="E54" s="14" t="s">
        <v>185</v>
      </c>
      <c r="F54" s="14" t="s">
        <v>1204</v>
      </c>
      <c r="G54" s="14" t="s">
        <v>1125</v>
      </c>
      <c r="H54" s="14" t="s">
        <v>185</v>
      </c>
      <c r="I54" s="14" t="s">
        <v>185</v>
      </c>
      <c r="J54" s="14" t="s">
        <v>1131</v>
      </c>
      <c r="K54" s="14" t="s">
        <v>784</v>
      </c>
      <c r="L54" s="14" t="s">
        <v>1127</v>
      </c>
      <c r="M54" s="14" t="s">
        <v>1128</v>
      </c>
    </row>
    <row r="55" customFormat="false" ht="15" hidden="false" customHeight="false" outlineLevel="0" collapsed="false">
      <c r="A55" s="14" t="s">
        <v>1205</v>
      </c>
      <c r="B55" s="14" t="s">
        <v>1121</v>
      </c>
      <c r="C55" s="14" t="s">
        <v>1206</v>
      </c>
      <c r="D55" s="29" t="n">
        <v>46006</v>
      </c>
      <c r="E55" s="14" t="s">
        <v>150</v>
      </c>
      <c r="F55" s="14" t="s">
        <v>1207</v>
      </c>
      <c r="G55" s="14" t="s">
        <v>1125</v>
      </c>
      <c r="H55" s="14" t="s">
        <v>150</v>
      </c>
      <c r="I55" s="14" t="s">
        <v>150</v>
      </c>
      <c r="J55" s="14" t="s">
        <v>1131</v>
      </c>
      <c r="K55" s="14" t="s">
        <v>784</v>
      </c>
      <c r="L55" s="14" t="s">
        <v>1127</v>
      </c>
      <c r="M55" s="14" t="s">
        <v>1128</v>
      </c>
    </row>
    <row r="56" customFormat="false" ht="15" hidden="false" customHeight="false" outlineLevel="0" collapsed="false">
      <c r="A56" s="14" t="s">
        <v>1208</v>
      </c>
      <c r="B56" s="14" t="s">
        <v>1121</v>
      </c>
      <c r="C56" s="14" t="s">
        <v>1209</v>
      </c>
      <c r="D56" s="29" t="n">
        <v>46006</v>
      </c>
      <c r="E56" s="14" t="s">
        <v>1210</v>
      </c>
      <c r="F56" s="14" t="s">
        <v>1211</v>
      </c>
      <c r="G56" s="14" t="s">
        <v>1125</v>
      </c>
      <c r="H56" s="14" t="s">
        <v>1210</v>
      </c>
      <c r="I56" s="14" t="s">
        <v>1210</v>
      </c>
      <c r="J56" s="14" t="s">
        <v>1212</v>
      </c>
      <c r="K56" s="14" t="s">
        <v>784</v>
      </c>
      <c r="L56" s="14" t="s">
        <v>1127</v>
      </c>
      <c r="M56" s="14" t="s">
        <v>1128</v>
      </c>
    </row>
    <row r="57" customFormat="false" ht="15" hidden="false" customHeight="false" outlineLevel="0" collapsed="false">
      <c r="A57" s="14" t="s">
        <v>1213</v>
      </c>
      <c r="B57" s="14" t="s">
        <v>1121</v>
      </c>
      <c r="C57" s="14" t="s">
        <v>1214</v>
      </c>
      <c r="D57" s="29" t="n">
        <v>46006</v>
      </c>
      <c r="E57" s="14" t="s">
        <v>695</v>
      </c>
      <c r="F57" s="14" t="s">
        <v>1215</v>
      </c>
      <c r="G57" s="14" t="s">
        <v>1125</v>
      </c>
      <c r="H57" s="14" t="s">
        <v>695</v>
      </c>
      <c r="I57" s="14" t="s">
        <v>695</v>
      </c>
      <c r="J57" s="14" t="s">
        <v>1137</v>
      </c>
      <c r="K57" s="14" t="s">
        <v>784</v>
      </c>
      <c r="L57" s="14" t="s">
        <v>1127</v>
      </c>
      <c r="M57" s="14" t="s">
        <v>1128</v>
      </c>
    </row>
    <row r="58" customFormat="false" ht="15" hidden="false" customHeight="false" outlineLevel="0" collapsed="false">
      <c r="A58" s="14" t="s">
        <v>1216</v>
      </c>
      <c r="B58" s="14" t="s">
        <v>1121</v>
      </c>
      <c r="C58" s="14" t="s">
        <v>1217</v>
      </c>
      <c r="D58" s="29" t="n">
        <v>46006</v>
      </c>
      <c r="E58" s="14" t="s">
        <v>695</v>
      </c>
      <c r="F58" s="14" t="s">
        <v>1215</v>
      </c>
      <c r="G58" s="14" t="s">
        <v>1125</v>
      </c>
      <c r="H58" s="14" t="s">
        <v>695</v>
      </c>
      <c r="I58" s="14" t="s">
        <v>695</v>
      </c>
      <c r="J58" s="14" t="s">
        <v>1137</v>
      </c>
      <c r="K58" s="14" t="s">
        <v>784</v>
      </c>
      <c r="L58" s="14" t="s">
        <v>1127</v>
      </c>
      <c r="M58" s="14" t="s">
        <v>1128</v>
      </c>
    </row>
    <row r="59" customFormat="false" ht="15" hidden="false" customHeight="false" outlineLevel="0" collapsed="false">
      <c r="A59" s="14" t="s">
        <v>1218</v>
      </c>
      <c r="B59" s="14" t="s">
        <v>1121</v>
      </c>
      <c r="C59" s="14" t="s">
        <v>1219</v>
      </c>
      <c r="D59" s="29" t="n">
        <v>46006</v>
      </c>
      <c r="E59" s="14" t="s">
        <v>185</v>
      </c>
      <c r="F59" s="14" t="s">
        <v>1215</v>
      </c>
      <c r="G59" s="14" t="s">
        <v>1125</v>
      </c>
      <c r="H59" s="14" t="s">
        <v>185</v>
      </c>
      <c r="I59" s="14" t="s">
        <v>185</v>
      </c>
      <c r="J59" s="14" t="s">
        <v>1137</v>
      </c>
      <c r="K59" s="14" t="s">
        <v>784</v>
      </c>
      <c r="L59" s="14" t="s">
        <v>1127</v>
      </c>
      <c r="M59" s="14" t="s">
        <v>1128</v>
      </c>
    </row>
    <row r="60" customFormat="false" ht="15" hidden="false" customHeight="false" outlineLevel="0" collapsed="false">
      <c r="A60" s="14" t="s">
        <v>1220</v>
      </c>
      <c r="B60" s="14" t="s">
        <v>1121</v>
      </c>
      <c r="C60" s="14" t="s">
        <v>1221</v>
      </c>
      <c r="D60" s="29" t="n">
        <v>46006</v>
      </c>
      <c r="E60" s="14" t="s">
        <v>695</v>
      </c>
      <c r="F60" s="14" t="s">
        <v>1215</v>
      </c>
      <c r="G60" s="14" t="s">
        <v>1125</v>
      </c>
      <c r="H60" s="14" t="s">
        <v>695</v>
      </c>
      <c r="I60" s="14" t="s">
        <v>695</v>
      </c>
      <c r="J60" s="14" t="s">
        <v>1137</v>
      </c>
      <c r="K60" s="14" t="s">
        <v>784</v>
      </c>
      <c r="L60" s="14" t="s">
        <v>1127</v>
      </c>
      <c r="M60" s="14" t="s">
        <v>1128</v>
      </c>
    </row>
    <row r="61" customFormat="false" ht="15" hidden="false" customHeight="false" outlineLevel="0" collapsed="false">
      <c r="A61" s="14" t="s">
        <v>1222</v>
      </c>
      <c r="B61" s="14" t="s">
        <v>1121</v>
      </c>
      <c r="C61" s="14" t="s">
        <v>1223</v>
      </c>
      <c r="D61" s="29" t="n">
        <v>46006</v>
      </c>
      <c r="E61" s="14" t="s">
        <v>1224</v>
      </c>
      <c r="F61" s="14" t="s">
        <v>1215</v>
      </c>
      <c r="G61" s="14" t="s">
        <v>1125</v>
      </c>
      <c r="H61" s="14" t="s">
        <v>1224</v>
      </c>
      <c r="I61" s="14" t="s">
        <v>1224</v>
      </c>
      <c r="J61" s="14" t="s">
        <v>1137</v>
      </c>
      <c r="K61" s="14" t="s">
        <v>784</v>
      </c>
      <c r="L61" s="14" t="s">
        <v>1127</v>
      </c>
      <c r="M61" s="14" t="s">
        <v>1128</v>
      </c>
    </row>
  </sheetData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7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C2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"/>
    <col collapsed="false" customWidth="true" hidden="false" outlineLevel="0" max="3" min="3" style="1" width="34"/>
    <col collapsed="false" customWidth="true" hidden="false" outlineLevel="0" max="5" min="4" style="1" width="22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60"/>
  </cols>
  <sheetData>
    <row r="2" customFormat="false" ht="18.55" hidden="false" customHeight="false" outlineLevel="0" collapsed="false">
      <c r="C2" s="2" t="s">
        <v>1225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" hidden="false" customHeight="false" outlineLevel="0" collapsed="false">
      <c r="C4" s="32" t="s">
        <v>1226</v>
      </c>
      <c r="D4" s="32"/>
      <c r="E4" s="32"/>
      <c r="F4" s="32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C6" s="10" t="s">
        <v>1227</v>
      </c>
      <c r="D6" s="11" t="s">
        <v>1228</v>
      </c>
      <c r="E6" s="11" t="s">
        <v>1229</v>
      </c>
      <c r="F6" s="11" t="s">
        <v>1230</v>
      </c>
      <c r="G6" s="11" t="s">
        <v>7</v>
      </c>
      <c r="H6" s="12" t="s">
        <v>1231</v>
      </c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C7" s="3" t="s">
        <v>1232</v>
      </c>
      <c r="D7" s="16" t="n">
        <f aca="false">Transaction!D12</f>
        <v>0</v>
      </c>
      <c r="E7" s="14" t="n">
        <v>0</v>
      </c>
      <c r="F7" s="3" t="n">
        <v>0.001</v>
      </c>
      <c r="G7" s="19" t="str">
        <f aca="false">IF(ABS(D7-E7)&lt;=F7,"PASS","FAIL")</f>
        <v>PASS</v>
      </c>
      <c r="H7" s="3" t="s">
        <v>1233</v>
      </c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C8" s="3" t="s">
        <v>1234</v>
      </c>
      <c r="D8" s="16" t="n">
        <f aca="false">Transaction!D17</f>
        <v>727.51671875</v>
      </c>
      <c r="E8" s="14" t="n">
        <v>727.51671875</v>
      </c>
      <c r="F8" s="3" t="n">
        <v>0.002</v>
      </c>
      <c r="G8" s="19" t="str">
        <f aca="false">IF(ABS(D8-E8)&lt;=F8,"PASS","FAIL")</f>
        <v>PASS</v>
      </c>
      <c r="H8" s="3" t="s">
        <v>1235</v>
      </c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C9" s="3" t="s">
        <v>1236</v>
      </c>
      <c r="D9" s="14" t="n">
        <f aca="false">ABS('Debt Schedule'!N12-'Debt Schedule'!J13)+ABS('Debt Schedule'!N13-'Debt Schedule'!J14)+ABS('Debt Schedule'!N14-'Debt Schedule'!J15)+ABS('Debt Schedule'!N15-'Debt Schedule'!J16)+ABS('Debt Schedule'!N16-'Debt Schedule'!J17)+ABS('Debt Schedule'!N17-'Debt Schedule'!J18)+ABS('Debt Schedule'!N18-'Debt Schedule'!J19)+ABS('Debt Schedule'!N19-'Debt Schedule'!J20)+ABS('Debt Schedule'!N20-'Debt Schedule'!J21)+ABS('Debt Schedule'!N21-'Debt Schedule'!J22)+ABS('Debt Schedule'!N22-'Debt Schedule'!J23)+ABS('Debt Schedule'!N23-'Debt Schedule'!J24)+ABS('Debt Schedule'!N24-'Debt Schedule'!J25)+ABS('Debt Schedule'!N25-'Debt Schedule'!J26)+ABS('Debt Schedule'!N26-'Debt Schedule'!J27)+ABS('Debt Schedule'!N27-'Debt Schedule'!J28)+ABS('Debt Schedule'!N28-'Debt Schedule'!J29)+ABS('Debt Schedule'!N29-'Debt Schedule'!J30)+ABS('Debt Schedule'!N30-'Debt Schedule'!J31)+ABS('Debt Schedule'!N31-'Debt Schedule'!J32)+ABS('Debt Schedule'!N32-'Debt Schedule'!J33)+ABS('Debt Schedule'!N33-'Debt Schedule'!J34)+ABS('Debt Schedule'!N34-'Debt Schedule'!J35)+ABS('Debt Schedule'!N35-'Debt Schedule'!J36)+ABS('Debt Schedule'!N36-'Debt Schedule'!J37)+ABS('Debt Schedule'!N37-'Debt Schedule'!J38)+ABS('Debt Schedule'!N38-'Debt Schedule'!J39)+ABS('Debt Schedule'!N39-'Debt Schedule'!J40)+ABS('Debt Schedule'!N40-'Debt Schedule'!J41)+ABS('Debt Schedule'!N41-'Debt Schedule'!J42)+ABS('Debt Schedule'!N42-'Debt Schedule'!J43)+ABS('Debt Schedule'!N43-'Debt Schedule'!J44)+ABS('Debt Schedule'!N44-'Debt Schedule'!J45)+ABS('Debt Schedule'!N45-'Debt Schedule'!J46)+ABS('Debt Schedule'!N46-'Debt Schedule'!J47)+ABS('Debt Schedule'!R12-'Debt Schedule'!O13)+ABS('Debt Schedule'!R13-'Debt Schedule'!O14)+ABS('Debt Schedule'!R14-'Debt Schedule'!O15)+ABS('Debt Schedule'!R15-'Debt Schedule'!O16)+ABS('Debt Schedule'!R16-'Debt Schedule'!O17)+ABS('Debt Schedule'!R17-'Debt Schedule'!O18)+ABS('Debt Schedule'!R18-'Debt Schedule'!O19)+ABS('Debt Schedule'!R19-'Debt Schedule'!O20)+ABS('Debt Schedule'!R20-'Debt Schedule'!O21)+ABS('Debt Schedule'!R21-'Debt Schedule'!O22)+ABS('Debt Schedule'!R22-'Debt Schedule'!O23)+ABS('Debt Schedule'!R23-'Debt Schedule'!O24)+ABS('Debt Schedule'!R24-'Debt Schedule'!O25)+ABS('Debt Schedule'!R25-'Debt Schedule'!O26)+ABS('Debt Schedule'!R26-'Debt Schedule'!O27)+ABS('Debt Schedule'!R27-'Debt Schedule'!O28)+ABS('Debt Schedule'!R28-'Debt Schedule'!O29)+ABS('Debt Schedule'!R29-'Debt Schedule'!O30)+ABS('Debt Schedule'!R30-'Debt Schedule'!O31)+ABS('Debt Schedule'!R31-'Debt Schedule'!O32)+ABS('Debt Schedule'!R32-'Debt Schedule'!O33)+ABS('Debt Schedule'!R33-'Debt Schedule'!O34)+ABS('Debt Schedule'!R34-'Debt Schedule'!O35)+ABS('Debt Schedule'!R35-'Debt Schedule'!O36)+ABS('Debt Schedule'!R36-'Debt Schedule'!O37)+ABS('Debt Schedule'!R37-'Debt Schedule'!O38)+ABS('Debt Schedule'!R38-'Debt Schedule'!O39)+ABS('Debt Schedule'!R39-'Debt Schedule'!O40)+ABS('Debt Schedule'!R40-'Debt Schedule'!O41)+ABS('Debt Schedule'!R41-'Debt Schedule'!O42)+ABS('Debt Schedule'!R42-'Debt Schedule'!O43)+ABS('Debt Schedule'!R43-'Debt Schedule'!O44)+ABS('Debt Schedule'!R44-'Debt Schedule'!O45)+ABS('Debt Schedule'!R45-'Debt Schedule'!O46)+ABS('Debt Schedule'!R46-'Debt Schedule'!O47)</f>
        <v>0</v>
      </c>
      <c r="E9" s="14" t="n">
        <v>0</v>
      </c>
      <c r="F9" s="3" t="n">
        <v>0.002</v>
      </c>
      <c r="G9" s="19" t="str">
        <f aca="false">IF(ABS(D9-E9)&lt;=F9,"PASS","FAIL")</f>
        <v>PASS</v>
      </c>
      <c r="H9" s="3" t="s">
        <v>1237</v>
      </c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C10" s="3" t="s">
        <v>95</v>
      </c>
      <c r="D10" s="14" t="n">
        <f aca="false">MAX('Debt Schedule'!R12:R47)</f>
        <v>23.458654616224</v>
      </c>
      <c r="E10" s="16" t="n">
        <f aca="false">Assumptions!D14</f>
        <v>300</v>
      </c>
      <c r="F10" s="3" t="n">
        <v>0</v>
      </c>
      <c r="G10" s="19" t="str">
        <f aca="false">IF(D10&lt;=E10,"PASS","FAIL")</f>
        <v>PASS</v>
      </c>
      <c r="H10" s="3" t="s">
        <v>1238</v>
      </c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C11" s="3" t="s">
        <v>1239</v>
      </c>
      <c r="D11" s="16" t="n">
        <f aca="false">Assumptions!D16</f>
        <v>6.2</v>
      </c>
      <c r="E11" s="14" t="n">
        <v>6.2</v>
      </c>
      <c r="F11" s="3" t="n">
        <v>0.001</v>
      </c>
      <c r="G11" s="19" t="str">
        <f aca="false">IF(ABS(D11-E11)&lt;=F11,"PASS","FAIL")</f>
        <v>PASS</v>
      </c>
      <c r="H11" s="3" t="s">
        <v>1240</v>
      </c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C12" s="3" t="s">
        <v>1241</v>
      </c>
      <c r="D12" s="14" t="n">
        <f aca="false">ABS('Debt Schedule'!W12-Liquidity!F14)+ABS('Debt Schedule'!W13-Liquidity!F15)+ABS('Debt Schedule'!W14-Liquidity!F16)+ABS('Debt Schedule'!W15-Liquidity!F17)+ABS('Debt Schedule'!W16-Liquidity!F18)+ABS('Debt Schedule'!W17-Liquidity!F19)+ABS('Debt Schedule'!W18-Liquidity!F20)+ABS('Debt Schedule'!W19-Liquidity!F21)+ABS('Debt Schedule'!W20-Liquidity!F22)+ABS('Debt Schedule'!W21-Liquidity!F23)+ABS('Debt Schedule'!W22-Liquidity!F24)+ABS('Debt Schedule'!W23-Liquidity!F25)+ABS('Debt Schedule'!W24-Liquidity!F26)+ABS('Debt Schedule'!W25-Liquidity!F27)+ABS('Debt Schedule'!W26-Liquidity!F28)+ABS('Debt Schedule'!W27-Liquidity!F29)+ABS('Debt Schedule'!W28-Liquidity!F30)+ABS('Debt Schedule'!W29-Liquidity!F31)+ABS('Debt Schedule'!W30-Liquidity!F32)+ABS('Debt Schedule'!W31-Liquidity!F33)+ABS('Debt Schedule'!W32-Liquidity!F34)+ABS('Debt Schedule'!W33-Liquidity!F35)+ABS('Debt Schedule'!W34-Liquidity!F36)+ABS('Debt Schedule'!W35-Liquidity!F37)+ABS('Debt Schedule'!W36-Liquidity!F38)+ABS('Debt Schedule'!W37-Liquidity!F39)+ABS('Debt Schedule'!W38-Liquidity!F40)+ABS('Debt Schedule'!W39-Liquidity!F41)+ABS('Debt Schedule'!W40-Liquidity!F42)+ABS('Debt Schedule'!W41-Liquidity!F43)+ABS('Debt Schedule'!W42-Liquidity!F44)+ABS('Debt Schedule'!W43-Liquidity!F45)+ABS('Debt Schedule'!W44-Liquidity!F46)+ABS('Debt Schedule'!W45-Liquidity!F47)+ABS('Debt Schedule'!W46-Liquidity!F48)</f>
        <v>0</v>
      </c>
      <c r="E12" s="14" t="n">
        <v>0</v>
      </c>
      <c r="F12" s="3" t="n">
        <v>0.002</v>
      </c>
      <c r="G12" s="19" t="str">
        <f aca="false">IF(ABS(D12-E12)&lt;=F12,"PASS","FAIL")</f>
        <v>PASS</v>
      </c>
      <c r="H12" s="3" t="s">
        <v>1237</v>
      </c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C13" s="3" t="s">
        <v>154</v>
      </c>
      <c r="D13" s="14" t="n">
        <f aca="false">MIN('Debt Schedule'!W12:W47)</f>
        <v>25</v>
      </c>
      <c r="E13" s="16" t="n">
        <f aca="false">Assumptions!D24</f>
        <v>25</v>
      </c>
      <c r="F13" s="3" t="n">
        <v>0.002</v>
      </c>
      <c r="G13" s="19" t="str">
        <f aca="false">IF(D13&gt;=E13-F13,"PASS","FAIL")</f>
        <v>PASS</v>
      </c>
      <c r="H13" s="3" t="s">
        <v>1242</v>
      </c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C14" s="3" t="s">
        <v>663</v>
      </c>
      <c r="D14" s="14" t="n">
        <f aca="false">SUM('Debt Schedule'!K12:K47)</f>
        <v>238.125</v>
      </c>
      <c r="E14" s="14" t="n">
        <f aca="false">SUMIFS(Assumptions!Y41:Y364,Assumptions!C41:C364,Assumptions!D4)*(Assumptions!D12/635)*(Assumptions!D18/7.5%)</f>
        <v>238.125</v>
      </c>
      <c r="F14" s="3" t="n">
        <v>0.002</v>
      </c>
      <c r="G14" s="19" t="str">
        <f aca="false">IF(ABS(D14-E14)&lt;=F14,"PASS","FAIL")</f>
        <v>PASS</v>
      </c>
      <c r="H14" s="3" t="s">
        <v>1243</v>
      </c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C15" s="3" t="s">
        <v>158</v>
      </c>
      <c r="D15" s="14" t="n">
        <f aca="false">SUM('Debt Schedule'!L12:L47)</f>
        <v>57.2921681522332</v>
      </c>
      <c r="E15" s="14" t="n">
        <f aca="false">SUMIFS(Assumptions!Z41:Z364,Assumptions!C41:C364,Assumptions!D4)*(Assumptions!D26/50%)</f>
        <v>57.2921681522332</v>
      </c>
      <c r="F15" s="3" t="n">
        <v>0.002</v>
      </c>
      <c r="G15" s="19" t="str">
        <f aca="false">IF(ABS(D15-E15)&lt;=F15,"PASS","FAIL")</f>
        <v>PASS</v>
      </c>
      <c r="H15" s="3" t="s">
        <v>1244</v>
      </c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C16" s="3" t="s">
        <v>1245</v>
      </c>
      <c r="D16" s="14" t="n">
        <f aca="false">SUM('Debt Schedule'!T12:T47)</f>
        <v>167.38574634971</v>
      </c>
      <c r="E16" s="14" t="n">
        <f aca="false">SUMIFS(Assumptions!AI41:AI364,Assumptions!C41:C364,Assumptions!D4)</f>
        <v>167.38574634971</v>
      </c>
      <c r="F16" s="3" t="n">
        <v>0.002</v>
      </c>
      <c r="G16" s="19" t="str">
        <f aca="false">IF(ABS(D16-E16)&lt;=F16,"PASS","FAIL")</f>
        <v>PASS</v>
      </c>
      <c r="H16" s="3" t="s">
        <v>1246</v>
      </c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C17" s="3" t="s">
        <v>673</v>
      </c>
      <c r="D17" s="14" t="n">
        <f aca="false">SUM('Debt Schedule'!AC12:AC47)</f>
        <v>0</v>
      </c>
      <c r="E17" s="14" t="n">
        <f aca="false">SUMIFS(Assumptions!AM41:AM364,Assumptions!C41:C364,Assumptions!D4)</f>
        <v>0</v>
      </c>
      <c r="F17" s="3" t="n">
        <v>0.002</v>
      </c>
      <c r="G17" s="19" t="str">
        <f aca="false">IF(ABS(D17-E17)&lt;=F17,"PASS","FAIL")</f>
        <v>PASS</v>
      </c>
      <c r="H17" s="3" t="s">
        <v>1247</v>
      </c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C18" s="3" t="s">
        <v>1248</v>
      </c>
      <c r="D18" s="14" t="n">
        <f aca="false">COUNT(Historicals!D7:H60)</f>
        <v>206</v>
      </c>
      <c r="E18" s="14" t="s">
        <v>1249</v>
      </c>
      <c r="F18" s="3" t="n">
        <v>0</v>
      </c>
      <c r="G18" s="19" t="str">
        <f aca="false">IF(D18&gt;0,"PASS","FAIL")</f>
        <v>PASS</v>
      </c>
      <c r="H18" s="3" t="s">
        <v>1250</v>
      </c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C19" s="3" t="s">
        <v>1251</v>
      </c>
      <c r="D19" s="16" t="n">
        <f aca="false">'Credit Adjustments'!E14</f>
        <v>225.344</v>
      </c>
      <c r="E19" s="14" t="n">
        <v>225.344</v>
      </c>
      <c r="F19" s="3" t="n">
        <v>0.002</v>
      </c>
      <c r="G19" s="19" t="str">
        <f aca="false">IF(ABS(D19-E19)&lt;=F19,"PASS","FAIL")</f>
        <v>PASS</v>
      </c>
      <c r="H19" s="3" t="s">
        <v>1252</v>
      </c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C20" s="3" t="s">
        <v>1253</v>
      </c>
      <c r="D20" s="14" t="str">
        <f aca="false">Assumptions!D4</f>
        <v>Base</v>
      </c>
      <c r="E20" s="14" t="s">
        <v>62</v>
      </c>
      <c r="F20" s="3" t="n">
        <v>0</v>
      </c>
      <c r="G20" s="19" t="str">
        <f aca="false">IF(OR(D20="Base",D20="Moderate unmitigated",D20="Moderate mitigated",D20="Severe unmitigated",D20="Severe mitigated",D20="Moderate Phase 6 analytical shutoff",D20="Severe Phase 6 analytical shutoff",D20="Moderate Phase 7 covenant-linked no-waiver",D20="Severe Phase 7 covenant-linked no-waiver"),"PASS","FAIL")</f>
        <v>PASS</v>
      </c>
      <c r="H20" s="3" t="s">
        <v>1254</v>
      </c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C21" s="3" t="s">
        <v>1255</v>
      </c>
      <c r="D21" s="14" t="n">
        <f aca="false">COUNTBLANK(Assumptions!L41:AR364)</f>
        <v>0</v>
      </c>
      <c r="E21" s="14" t="n">
        <v>0</v>
      </c>
      <c r="F21" s="3" t="n">
        <v>0</v>
      </c>
      <c r="G21" s="19" t="str">
        <f aca="false">IF(D21=0,"PASS","FAIL")</f>
        <v>PASS</v>
      </c>
      <c r="H21" s="3" t="s">
        <v>1256</v>
      </c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C22" s="3" t="s">
        <v>1257</v>
      </c>
      <c r="D22" s="14" t="n">
        <f aca="false">COUNTIF('Scenario Comparison'!AE12:AE20,"STALE")</f>
        <v>0</v>
      </c>
      <c r="E22" s="14" t="n">
        <v>0</v>
      </c>
      <c r="F22" s="3" t="n">
        <v>0</v>
      </c>
      <c r="G22" s="19" t="str">
        <f aca="false">IF(D22=0,"PASS","FAIL")</f>
        <v>PASS</v>
      </c>
      <c r="H22" s="3" t="s">
        <v>1258</v>
      </c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C23" s="3" t="s">
        <v>1259</v>
      </c>
      <c r="D23" s="14" t="n">
        <f aca="false">COUNTIF(Covenants!V8:V27,"BREACH")</f>
        <v>0</v>
      </c>
      <c r="E23" s="14" t="s">
        <v>1260</v>
      </c>
      <c r="F23" s="3" t="n">
        <v>0</v>
      </c>
      <c r="G23" s="19" t="str">
        <f aca="false">IF(D23&gt;=0,"PASS","FAIL")</f>
        <v>PASS</v>
      </c>
      <c r="H23" s="3" t="s">
        <v>1261</v>
      </c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C24" s="3" t="s">
        <v>1262</v>
      </c>
      <c r="D24" s="14" t="n">
        <f aca="false">COUNT(Covenants!J8:J27)</f>
        <v>20</v>
      </c>
      <c r="E24" s="14" t="n">
        <v>20</v>
      </c>
      <c r="F24" s="3" t="n">
        <v>0</v>
      </c>
      <c r="G24" s="19" t="str">
        <f aca="false">IF(D24=E24,"PASS","FAIL")</f>
        <v>PASS</v>
      </c>
      <c r="H24" s="3" t="s">
        <v>1263</v>
      </c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C25" s="3" t="s">
        <v>1264</v>
      </c>
      <c r="D25" s="14" t="n">
        <f aca="false">COUNTIF(Covenants!I8:O27,"N/D")+COUNTIF(Covenants!I8:O27,"N/M")</f>
        <v>8</v>
      </c>
      <c r="E25" s="14" t="s">
        <v>1265</v>
      </c>
      <c r="F25" s="3" t="n">
        <v>0</v>
      </c>
      <c r="G25" s="19" t="str">
        <f aca="false">IF(D25&gt;=1,"PASS","FAIL")</f>
        <v>PASS</v>
      </c>
      <c r="H25" s="3" t="s">
        <v>1266</v>
      </c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C26" s="3" t="s">
        <v>110</v>
      </c>
      <c r="D26" s="14" t="n">
        <f aca="false">COUNTIF(Covenants!W8:W27,"SHUTOFF")</f>
        <v>0</v>
      </c>
      <c r="E26" s="14" t="s">
        <v>1260</v>
      </c>
      <c r="F26" s="3" t="n">
        <v>0</v>
      </c>
      <c r="G26" s="19" t="str">
        <f aca="false">IF(D26&gt;=0,"PASS","FAIL")</f>
        <v>PASS</v>
      </c>
      <c r="H26" s="3" t="s">
        <v>1267</v>
      </c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C27" s="3" t="s">
        <v>1268</v>
      </c>
      <c r="D27" s="14" t="n">
        <f aca="false">SUM('Debt Schedule'!V12:V47)</f>
        <v>97.4999999999999</v>
      </c>
      <c r="E27" s="14" t="s">
        <v>1260</v>
      </c>
      <c r="F27" s="3" t="n">
        <v>0</v>
      </c>
      <c r="G27" s="19" t="str">
        <f aca="false">IF(D27&gt;=0,"PASS","FAIL")</f>
        <v>PASS</v>
      </c>
      <c r="H27" s="3" t="s">
        <v>88</v>
      </c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C28" s="3" t="s">
        <v>1269</v>
      </c>
      <c r="D28" s="16" t="n">
        <f aca="false">'Scenario Comparison'!W5</f>
        <v>514.75370778618</v>
      </c>
      <c r="E28" s="14" t="s">
        <v>1270</v>
      </c>
      <c r="F28" s="3" t="n">
        <v>0</v>
      </c>
      <c r="G28" s="19" t="str">
        <f aca="false">IF(ISNUMBER(D28),"PASS","FAIL")</f>
        <v>PASS</v>
      </c>
      <c r="H28" s="3" t="s">
        <v>1271</v>
      </c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C29" s="3" t="s">
        <v>1272</v>
      </c>
      <c r="D29" s="16" t="n">
        <f aca="false">'Scenario Comparison'!X5</f>
        <v>324.779705120148</v>
      </c>
      <c r="E29" s="14" t="s">
        <v>1249</v>
      </c>
      <c r="F29" s="3" t="n">
        <v>0</v>
      </c>
      <c r="G29" s="19" t="str">
        <f aca="false">IF(D29&gt;0,"PASS","FAIL")</f>
        <v>PASS</v>
      </c>
      <c r="H29" s="3" t="s">
        <v>187</v>
      </c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C30" s="3" t="s">
        <v>1273</v>
      </c>
      <c r="D30" s="14" t="n">
        <f aca="false">MAX(ABS(Transaction!D17-727.51671875),ABS('Credit Adjustments'!E14-225.344))</f>
        <v>0</v>
      </c>
      <c r="E30" s="14" t="n">
        <v>0</v>
      </c>
      <c r="F30" s="3" t="n">
        <v>0.002</v>
      </c>
      <c r="G30" s="19" t="str">
        <f aca="false">IF(D30&lt;=F30,"PASS","FAIL")</f>
        <v>PASS</v>
      </c>
      <c r="H30" s="3" t="s">
        <v>1274</v>
      </c>
      <c r="I30" s="3"/>
      <c r="J30" s="3"/>
      <c r="K30" s="3"/>
      <c r="L30" s="3"/>
      <c r="M30" s="3"/>
      <c r="N30" s="3"/>
    </row>
    <row r="31" customFormat="false" ht="15" hidden="false" customHeight="false" outlineLevel="0" collapsed="false">
      <c r="C31" s="3" t="s">
        <v>1275</v>
      </c>
      <c r="D31" s="14" t="n">
        <v>0</v>
      </c>
      <c r="E31" s="14" t="n">
        <v>0</v>
      </c>
      <c r="F31" s="3" t="n">
        <v>0</v>
      </c>
      <c r="G31" s="19" t="str">
        <f aca="false">IF(D31=0,"PASS","FAIL")</f>
        <v>PASS</v>
      </c>
      <c r="H31" s="3" t="s">
        <v>1276</v>
      </c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C32" s="3" t="s">
        <v>1277</v>
      </c>
      <c r="D32" s="14" t="n">
        <v>0</v>
      </c>
      <c r="E32" s="14" t="n">
        <v>0</v>
      </c>
      <c r="F32" s="3" t="n">
        <v>0</v>
      </c>
      <c r="G32" s="19" t="str">
        <f aca="false">IF(D32=0,"PASS","FAIL")</f>
        <v>PASS</v>
      </c>
      <c r="H32" s="3" t="s">
        <v>1278</v>
      </c>
      <c r="I32" s="3"/>
      <c r="J32" s="3"/>
      <c r="K32" s="3"/>
      <c r="L32" s="3"/>
      <c r="M32" s="3"/>
      <c r="N32" s="3"/>
    </row>
    <row r="33" customFormat="false" ht="15" hidden="false" customHeight="false" outlineLevel="0" collapsed="false">
      <c r="C33" s="3" t="s">
        <v>1279</v>
      </c>
      <c r="D33" s="14" t="n">
        <f aca="false">COUNTIF('Scenario Comparison'!AE12:AE20,"STALE")</f>
        <v>0</v>
      </c>
      <c r="E33" s="14" t="n">
        <v>0</v>
      </c>
      <c r="F33" s="3" t="n">
        <v>0</v>
      </c>
      <c r="G33" s="19" t="str">
        <f aca="false">IF(D33=0,"PASS","FAIL")</f>
        <v>PASS</v>
      </c>
      <c r="H33" s="3" t="s">
        <v>1280</v>
      </c>
      <c r="I33" s="3"/>
      <c r="J33" s="3"/>
      <c r="K33" s="3"/>
      <c r="L33" s="3"/>
      <c r="M33" s="3"/>
      <c r="N33" s="3"/>
    </row>
    <row r="34" customFormat="false" ht="15" hidden="false" customHeight="false" outlineLevel="0" collapsed="false">
      <c r="C34" s="3" t="s">
        <v>1281</v>
      </c>
      <c r="D34" s="14" t="n">
        <v>0</v>
      </c>
      <c r="E34" s="14" t="n">
        <v>0</v>
      </c>
      <c r="F34" s="3" t="n">
        <v>0</v>
      </c>
      <c r="G34" s="19" t="str">
        <f aca="false">IF(D34=0,"PASS","FAIL")</f>
        <v>PASS</v>
      </c>
      <c r="H34" s="3" t="s">
        <v>1282</v>
      </c>
      <c r="I34" s="3"/>
      <c r="J34" s="3"/>
      <c r="K34" s="3"/>
      <c r="L34" s="3"/>
      <c r="M34" s="3"/>
      <c r="N34" s="3"/>
    </row>
    <row r="35" customFormat="false" ht="15" hidden="false" customHeight="false" outlineLevel="0" collapsed="false">
      <c r="C35" s="3" t="s">
        <v>1283</v>
      </c>
      <c r="D35" s="14" t="n">
        <f aca="false">COUNTA(Sources!A2:A80)</f>
        <v>60</v>
      </c>
      <c r="E35" s="14" t="s">
        <v>1249</v>
      </c>
      <c r="F35" s="3" t="n">
        <v>0</v>
      </c>
      <c r="G35" s="19" t="str">
        <f aca="false">IF(D35&gt;0,"PASS","FAIL")</f>
        <v>PASS</v>
      </c>
      <c r="H35" s="3" t="s">
        <v>1284</v>
      </c>
      <c r="I35" s="3"/>
      <c r="J35" s="3"/>
      <c r="K35" s="3"/>
      <c r="L35" s="3"/>
      <c r="M35" s="3"/>
      <c r="N35" s="3"/>
    </row>
    <row r="36" customFormat="false" ht="15" hidden="false" customHeight="false" outlineLevel="0" collapsed="false">
      <c r="C36" s="3" t="s">
        <v>1285</v>
      </c>
      <c r="D36" s="14" t="s">
        <v>1286</v>
      </c>
      <c r="E36" s="14" t="s">
        <v>1286</v>
      </c>
      <c r="F36" s="3" t="n">
        <v>0</v>
      </c>
      <c r="G36" s="19" t="str">
        <f aca="false">IF(D36=E36,"PASS","FAIL")</f>
        <v>PASS</v>
      </c>
      <c r="H36" s="3" t="s">
        <v>1287</v>
      </c>
      <c r="I36" s="3"/>
      <c r="J36" s="3"/>
      <c r="K36" s="3"/>
      <c r="L36" s="3"/>
      <c r="M36" s="3"/>
      <c r="N36" s="3"/>
    </row>
    <row r="37" customFormat="false" ht="15" hidden="false" customHeight="false" outlineLevel="0" collapsed="false">
      <c r="C37" s="3" t="s">
        <v>1288</v>
      </c>
      <c r="D37" s="14" t="str">
        <f aca="false">Assumptions!D4</f>
        <v>Base</v>
      </c>
      <c r="E37" s="14" t="s">
        <v>62</v>
      </c>
      <c r="F37" s="3" t="n">
        <v>0</v>
      </c>
      <c r="G37" s="19" t="str">
        <f aca="false">IF(D37=E37,"PASS","FAIL")</f>
        <v>PASS</v>
      </c>
      <c r="H37" s="3" t="s">
        <v>1289</v>
      </c>
      <c r="I37" s="3"/>
      <c r="J37" s="3"/>
      <c r="K37" s="3"/>
      <c r="L37" s="3"/>
      <c r="M37" s="3"/>
      <c r="N37" s="3"/>
    </row>
    <row r="38" customFormat="false" ht="15" hidden="false" customHeight="false" outlineLevel="0" collapsed="false">
      <c r="C38" s="3" t="s">
        <v>1290</v>
      </c>
      <c r="D38" s="14" t="n">
        <f aca="false">SUMPRODUCT((Covenants!L8:L27="WARNING")*(Covenants!H8:H27&lt;Covenants!K8:K27))+SUMPRODUCT((Covenants!L8:L27="BREACH")*(Covenants!H8:H27&lt;=Covenants!J8:J27))</f>
        <v>0</v>
      </c>
      <c r="E38" s="14" t="n">
        <v>0</v>
      </c>
      <c r="F38" s="3" t="n">
        <v>0</v>
      </c>
      <c r="G38" s="19" t="str">
        <f aca="false">IF(D38=E38,"PASS","FAIL")</f>
        <v>PASS</v>
      </c>
      <c r="H38" s="3" t="s">
        <v>1291</v>
      </c>
      <c r="I38" s="3"/>
      <c r="J38" s="3"/>
      <c r="K38" s="3"/>
      <c r="L38" s="3"/>
      <c r="M38" s="3"/>
      <c r="N38" s="3"/>
    </row>
  </sheetData>
  <conditionalFormatting sqref="G7:G38">
    <cfRule type="containsText" priority="2" operator="containsText" aboveAverage="0" equalAverage="0" bottom="0" percent="0" rank="0" text="BREACH" dxfId="64">
      <formula>NOT(ISERROR(SEARCH("BREACH",G7)))</formula>
    </cfRule>
    <cfRule type="containsText" priority="3" operator="containsText" aboveAverage="0" equalAverage="0" bottom="0" percent="0" rank="0" text="FAIL" dxfId="65">
      <formula>NOT(ISERROR(SEARCH("FAIL",G7)))</formula>
    </cfRule>
    <cfRule type="containsText" priority="4" operator="containsText" aboveAverage="0" equalAverage="0" bottom="0" percent="0" rank="0" text="WARNING" dxfId="66">
      <formula>NOT(ISERROR(SEARCH("WARNING",G7)))</formula>
    </cfRule>
    <cfRule type="containsText" priority="5" operator="containsText" aboveAverage="0" equalAverage="0" bottom="0" percent="0" rank="0" text="STALE" dxfId="67">
      <formula>NOT(ISERROR(SEARCH("STALE",G7)))</formula>
    </cfRule>
    <cfRule type="containsText" priority="6" operator="containsText" aboveAverage="0" equalAverage="0" bottom="0" percent="0" rank="0" text="N/D" dxfId="68">
      <formula>NOT(ISERROR(SEARCH("N/D",G7)))</formula>
    </cfRule>
  </conditionalFormatting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2026-09-11T13:40:08Z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